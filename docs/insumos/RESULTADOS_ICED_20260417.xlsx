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8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9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10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1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2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1.xml" ContentType="application/vnd.openxmlformats-officedocument.themeOverride+xml"/>
  <Override PartName="/xl/drawings/drawing5.xml" ContentType="application/vnd.openxmlformats-officedocument.drawing+xml"/>
  <Override PartName="/xl/charts/chartEx5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13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4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jeniffergallego/Library/CloudStorage/GoogleDrive-jeniffer.gallego@correounivalle.edu.co/Mi unidad/PLAN_ESTADISTICO_CALI/2025/ICED/"/>
    </mc:Choice>
  </mc:AlternateContent>
  <xr:revisionPtr revIDLastSave="0" documentId="8_{944AB579-5A7F-F64F-BF75-648FA2E736E2}" xr6:coauthVersionLast="47" xr6:coauthVersionMax="47" xr10:uidLastSave="{00000000-0000-0000-0000-000000000000}"/>
  <bookViews>
    <workbookView xWindow="0" yWindow="680" windowWidth="30240" windowHeight="17780" activeTab="4" xr2:uid="{77022D5B-6AB4-4090-8F98-572A6C143DB5}"/>
  </bookViews>
  <sheets>
    <sheet name="2024-2025" sheetId="12" r:id="rId1"/>
    <sheet name="DATA24" sheetId="1" r:id="rId2"/>
    <sheet name="DINAMICA" sheetId="5" state="hidden" r:id="rId3"/>
    <sheet name="DINM_25" sheetId="13" r:id="rId4"/>
    <sheet name="resultados" sheetId="3" r:id="rId5"/>
    <sheet name="ENTORNO" sheetId="14" r:id="rId6"/>
    <sheet name="INFRAESTRUCTURA" sheetId="15" r:id="rId7"/>
    <sheet name="METOD_ESTAD" sheetId="6" r:id="rId8"/>
    <sheet name="ACCESIBILIDAD Y USO" sheetId="7" r:id="rId9"/>
  </sheets>
  <definedNames>
    <definedName name="_xlnm._FilterDatabase" localSheetId="0" hidden="1">'2024-2025'!$A$1:$BA$83</definedName>
    <definedName name="_xlnm._FilterDatabase" localSheetId="8" hidden="1">'ACCESIBILIDAD Y USO'!$B$109:$C$124</definedName>
    <definedName name="_xlnm._FilterDatabase" localSheetId="1" hidden="1">DATA24!$A$1:$BA$28</definedName>
    <definedName name="_xlchart.v1.0" hidden="1">'2024-2025'!$C$11</definedName>
    <definedName name="_xlchart.v1.1" hidden="1">'2024-2025'!$C$2</definedName>
    <definedName name="_xlchart.v1.10" hidden="1">ENTORNO!$C$138:$C$164</definedName>
    <definedName name="_xlchart.v1.11" hidden="1">INFRAESTRUCTURA!$B$137</definedName>
    <definedName name="_xlchart.v1.12" hidden="1">INFRAESTRUCTURA!$B$138:$B$164</definedName>
    <definedName name="_xlchart.v1.13" hidden="1">INFRAESTRUCTURA!$C$137</definedName>
    <definedName name="_xlchart.v1.14" hidden="1">INFRAESTRUCTURA!$C$138:$C$164</definedName>
    <definedName name="_xlchart.v1.15" hidden="1">METOD_ESTAD!$B$137</definedName>
    <definedName name="_xlchart.v1.16" hidden="1">METOD_ESTAD!$B$138:$B$164</definedName>
    <definedName name="_xlchart.v1.17" hidden="1">METOD_ESTAD!$C$137</definedName>
    <definedName name="_xlchart.v1.18" hidden="1">METOD_ESTAD!$C$138:$C$164</definedName>
    <definedName name="_xlchart.v1.19" hidden="1">METOD_ESTAD!$D$137</definedName>
    <definedName name="_xlchart.v1.2" hidden="1">'2024-2025'!$C$26</definedName>
    <definedName name="_xlchart.v1.20" hidden="1">METOD_ESTAD!$D$138:$D$164</definedName>
    <definedName name="_xlchart.v1.21" hidden="1">'ACCESIBILIDAD Y USO'!$C$32</definedName>
    <definedName name="_xlchart.v1.22" hidden="1">'ACCESIBILIDAD Y USO'!$C$33:$C$59</definedName>
    <definedName name="_xlchart.v1.23" hidden="1">'ACCESIBILIDAD Y USO'!$D$32</definedName>
    <definedName name="_xlchart.v1.24" hidden="1">'ACCESIBILIDAD Y USO'!$D$33:$D$59</definedName>
    <definedName name="_xlchart.v1.3" hidden="1">'2024-2025'!$C$2:$C$10</definedName>
    <definedName name="_xlchart.v1.4" hidden="1">'2024-2025'!$D$11:$D$25</definedName>
    <definedName name="_xlchart.v1.5" hidden="1">'2024-2025'!$D$26:$D$28</definedName>
    <definedName name="_xlchart.v1.6" hidden="1">'2024-2025'!$D$2:$D$10</definedName>
    <definedName name="_xlchart.v1.7" hidden="1">ENTORNO!$B$137</definedName>
    <definedName name="_xlchart.v1.8" hidden="1">ENTORNO!$B$138:$B$164</definedName>
    <definedName name="_xlchart.v1.9" hidden="1">ENTORNO!$C$137</definedName>
  </definedNames>
  <calcPr calcId="191029"/>
  <pivotCaches>
    <pivotCache cacheId="2" r:id="rId10"/>
    <pivotCache cacheId="3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6" i="15" l="1"/>
  <c r="C80" i="15"/>
  <c r="C70" i="15"/>
  <c r="C31" i="15"/>
  <c r="C15" i="15"/>
  <c r="C5" i="15"/>
  <c r="C96" i="14"/>
  <c r="C80" i="14"/>
  <c r="C70" i="14"/>
  <c r="C31" i="14"/>
  <c r="C15" i="14"/>
  <c r="C5" i="14"/>
  <c r="F56" i="12" l="1"/>
  <c r="G56" i="12"/>
  <c r="H56" i="12"/>
  <c r="E56" i="12"/>
  <c r="D14" i="12" l="1"/>
  <c r="D18" i="12"/>
  <c r="D23" i="12"/>
  <c r="D12" i="12"/>
  <c r="D11" i="12"/>
  <c r="D8" i="12"/>
  <c r="D15" i="12"/>
  <c r="D2" i="12"/>
  <c r="D21" i="12"/>
  <c r="D7" i="12"/>
  <c r="D22" i="12"/>
  <c r="D4" i="12"/>
  <c r="D10" i="12"/>
  <c r="D27" i="12"/>
  <c r="D13" i="12"/>
  <c r="D19" i="12"/>
  <c r="D28" i="12"/>
  <c r="D20" i="12"/>
  <c r="D6" i="12"/>
  <c r="D9" i="12"/>
  <c r="D3" i="12"/>
  <c r="D5" i="12"/>
  <c r="D17" i="12"/>
  <c r="D16" i="12"/>
  <c r="D26" i="12"/>
  <c r="D25" i="12"/>
  <c r="D24" i="12"/>
  <c r="D57" i="12" l="1"/>
  <c r="D125" i="7"/>
  <c r="D109" i="7"/>
  <c r="D99" i="7"/>
  <c r="D90" i="7"/>
  <c r="D74" i="7"/>
  <c r="D64" i="7"/>
  <c r="C130" i="6"/>
  <c r="C114" i="6"/>
  <c r="C104" i="6"/>
  <c r="C31" i="6"/>
  <c r="C15" i="6"/>
  <c r="C5" i="6"/>
  <c r="C96" i="6"/>
  <c r="C80" i="6"/>
  <c r="C70" i="6"/>
  <c r="AW28" i="1"/>
  <c r="Q28" i="1" s="1"/>
  <c r="AV28" i="1"/>
  <c r="P28" i="1" s="1"/>
  <c r="AF28" i="1"/>
  <c r="AD28" i="1"/>
  <c r="O28" i="1"/>
  <c r="N28" i="1"/>
  <c r="M28" i="1"/>
  <c r="L28" i="1"/>
  <c r="K28" i="1"/>
  <c r="J28" i="1"/>
  <c r="I28" i="1"/>
  <c r="AW27" i="1"/>
  <c r="AV27" i="1"/>
  <c r="AF27" i="1"/>
  <c r="L27" i="1" s="1"/>
  <c r="Q27" i="1"/>
  <c r="P27" i="1"/>
  <c r="O27" i="1"/>
  <c r="N27" i="1"/>
  <c r="M27" i="1"/>
  <c r="K27" i="1"/>
  <c r="J27" i="1"/>
  <c r="I27" i="1"/>
  <c r="AD26" i="1"/>
  <c r="Q26" i="1"/>
  <c r="P26" i="1"/>
  <c r="O26" i="1"/>
  <c r="N26" i="1"/>
  <c r="M26" i="1"/>
  <c r="L26" i="1"/>
  <c r="K26" i="1"/>
  <c r="J26" i="1"/>
  <c r="I26" i="1"/>
  <c r="Q25" i="1"/>
  <c r="P25" i="1"/>
  <c r="O25" i="1"/>
  <c r="N25" i="1"/>
  <c r="M25" i="1"/>
  <c r="L25" i="1"/>
  <c r="K25" i="1"/>
  <c r="J25" i="1"/>
  <c r="I25" i="1"/>
  <c r="Q24" i="1"/>
  <c r="P24" i="1"/>
  <c r="O24" i="1"/>
  <c r="N24" i="1"/>
  <c r="M24" i="1"/>
  <c r="L24" i="1"/>
  <c r="K24" i="1"/>
  <c r="J24" i="1"/>
  <c r="I24" i="1"/>
  <c r="AW23" i="1"/>
  <c r="Q23" i="1" s="1"/>
  <c r="AV23" i="1"/>
  <c r="P23" i="1" s="1"/>
  <c r="AD23" i="1"/>
  <c r="L23" i="1" s="1"/>
  <c r="O23" i="1"/>
  <c r="N23" i="1"/>
  <c r="M23" i="1"/>
  <c r="K23" i="1"/>
  <c r="J23" i="1"/>
  <c r="I23" i="1"/>
  <c r="Q22" i="1"/>
  <c r="P22" i="1"/>
  <c r="O22" i="1"/>
  <c r="N22" i="1"/>
  <c r="M22" i="1"/>
  <c r="L22" i="1"/>
  <c r="K22" i="1"/>
  <c r="J22" i="1"/>
  <c r="I22" i="1"/>
  <c r="AF21" i="1"/>
  <c r="L21" i="1" s="1"/>
  <c r="Q21" i="1"/>
  <c r="P21" i="1"/>
  <c r="O21" i="1"/>
  <c r="N21" i="1"/>
  <c r="M21" i="1"/>
  <c r="K21" i="1"/>
  <c r="J21" i="1"/>
  <c r="I21" i="1"/>
  <c r="Q20" i="1"/>
  <c r="P20" i="1"/>
  <c r="O20" i="1"/>
  <c r="N20" i="1"/>
  <c r="M20" i="1"/>
  <c r="L20" i="1"/>
  <c r="K20" i="1"/>
  <c r="J20" i="1"/>
  <c r="I20" i="1"/>
  <c r="AW19" i="1"/>
  <c r="AF19" i="1"/>
  <c r="L19" i="1" s="1"/>
  <c r="Q19" i="1"/>
  <c r="P19" i="1"/>
  <c r="O19" i="1"/>
  <c r="N19" i="1"/>
  <c r="M19" i="1"/>
  <c r="K19" i="1"/>
  <c r="J19" i="1"/>
  <c r="I19" i="1"/>
  <c r="Q18" i="1"/>
  <c r="P18" i="1"/>
  <c r="O18" i="1"/>
  <c r="N18" i="1"/>
  <c r="M18" i="1"/>
  <c r="L18" i="1"/>
  <c r="K18" i="1"/>
  <c r="J18" i="1"/>
  <c r="I18" i="1"/>
  <c r="AJ17" i="1"/>
  <c r="AF17" i="1"/>
  <c r="Q17" i="1"/>
  <c r="P17" i="1"/>
  <c r="O17" i="1"/>
  <c r="N17" i="1"/>
  <c r="M17" i="1"/>
  <c r="L17" i="1"/>
  <c r="K17" i="1"/>
  <c r="J17" i="1"/>
  <c r="I17" i="1"/>
  <c r="Q16" i="1"/>
  <c r="P16" i="1"/>
  <c r="O16" i="1"/>
  <c r="N16" i="1"/>
  <c r="M16" i="1"/>
  <c r="L16" i="1"/>
  <c r="K16" i="1"/>
  <c r="J16" i="1"/>
  <c r="I16" i="1"/>
  <c r="Q15" i="1"/>
  <c r="P15" i="1"/>
  <c r="O15" i="1"/>
  <c r="N15" i="1"/>
  <c r="M15" i="1"/>
  <c r="L15" i="1"/>
  <c r="K15" i="1"/>
  <c r="J15" i="1"/>
  <c r="I15" i="1"/>
  <c r="Q14" i="1"/>
  <c r="P14" i="1"/>
  <c r="O14" i="1"/>
  <c r="N14" i="1"/>
  <c r="M14" i="1"/>
  <c r="L14" i="1"/>
  <c r="K14" i="1"/>
  <c r="J14" i="1"/>
  <c r="I14" i="1"/>
  <c r="AD13" i="1"/>
  <c r="Q13" i="1"/>
  <c r="P13" i="1"/>
  <c r="O13" i="1"/>
  <c r="N13" i="1"/>
  <c r="M13" i="1"/>
  <c r="L13" i="1"/>
  <c r="K13" i="1"/>
  <c r="J13" i="1"/>
  <c r="I13" i="1"/>
  <c r="AW12" i="1"/>
  <c r="Q12" i="1" s="1"/>
  <c r="AV12" i="1"/>
  <c r="V12" i="1"/>
  <c r="J12" i="1" s="1"/>
  <c r="P12" i="1"/>
  <c r="O12" i="1"/>
  <c r="N12" i="1"/>
  <c r="M12" i="1"/>
  <c r="L12" i="1"/>
  <c r="K12" i="1"/>
  <c r="I12" i="1"/>
  <c r="AF11" i="1"/>
  <c r="Q11" i="1"/>
  <c r="P11" i="1"/>
  <c r="O11" i="1"/>
  <c r="N11" i="1"/>
  <c r="M11" i="1"/>
  <c r="L11" i="1"/>
  <c r="K11" i="1"/>
  <c r="J11" i="1"/>
  <c r="I11" i="1"/>
  <c r="AW10" i="1"/>
  <c r="Q10" i="1" s="1"/>
  <c r="AF10" i="1"/>
  <c r="AD10" i="1"/>
  <c r="P10" i="1"/>
  <c r="O10" i="1"/>
  <c r="N10" i="1"/>
  <c r="M10" i="1"/>
  <c r="L10" i="1"/>
  <c r="K10" i="1"/>
  <c r="J10" i="1"/>
  <c r="I10" i="1"/>
  <c r="AW9" i="1"/>
  <c r="AF9" i="1"/>
  <c r="Q9" i="1"/>
  <c r="P9" i="1"/>
  <c r="O9" i="1"/>
  <c r="N9" i="1"/>
  <c r="M9" i="1"/>
  <c r="L9" i="1"/>
  <c r="K9" i="1"/>
  <c r="J9" i="1"/>
  <c r="I9" i="1"/>
  <c r="AV8" i="1"/>
  <c r="AJ8" i="1"/>
  <c r="AF8" i="1"/>
  <c r="L8" i="1" s="1"/>
  <c r="Q8" i="1"/>
  <c r="P8" i="1"/>
  <c r="O8" i="1"/>
  <c r="N8" i="1"/>
  <c r="M8" i="1"/>
  <c r="K8" i="1"/>
  <c r="J8" i="1"/>
  <c r="I8" i="1"/>
  <c r="AW7" i="1"/>
  <c r="AF7" i="1"/>
  <c r="L7" i="1" s="1"/>
  <c r="Q7" i="1"/>
  <c r="P7" i="1"/>
  <c r="O7" i="1"/>
  <c r="N7" i="1"/>
  <c r="M7" i="1"/>
  <c r="K7" i="1"/>
  <c r="J7" i="1"/>
  <c r="I7" i="1"/>
  <c r="Q6" i="1"/>
  <c r="P6" i="1"/>
  <c r="O6" i="1"/>
  <c r="N6" i="1"/>
  <c r="M6" i="1"/>
  <c r="L6" i="1"/>
  <c r="K6" i="1"/>
  <c r="J6" i="1"/>
  <c r="I6" i="1"/>
  <c r="AF5" i="1"/>
  <c r="L5" i="1" s="1"/>
  <c r="V5" i="1"/>
  <c r="Q5" i="1"/>
  <c r="P5" i="1"/>
  <c r="O5" i="1"/>
  <c r="N5" i="1"/>
  <c r="M5" i="1"/>
  <c r="K5" i="1"/>
  <c r="J5" i="1"/>
  <c r="I5" i="1"/>
  <c r="AJ4" i="1"/>
  <c r="M4" i="1" s="1"/>
  <c r="AF4" i="1"/>
  <c r="V4" i="1"/>
  <c r="J4" i="1" s="1"/>
  <c r="Q4" i="1"/>
  <c r="P4" i="1"/>
  <c r="O4" i="1"/>
  <c r="N4" i="1"/>
  <c r="L4" i="1"/>
  <c r="K4" i="1"/>
  <c r="I4" i="1"/>
  <c r="AJ3" i="1"/>
  <c r="AI3" i="1"/>
  <c r="AH3" i="1"/>
  <c r="M3" i="1" s="1"/>
  <c r="AF3" i="1"/>
  <c r="AD3" i="1"/>
  <c r="L3" i="1" s="1"/>
  <c r="Q3" i="1"/>
  <c r="P3" i="1"/>
  <c r="O3" i="1"/>
  <c r="N3" i="1"/>
  <c r="K3" i="1"/>
  <c r="J3" i="1"/>
  <c r="I3" i="1"/>
  <c r="Q2" i="1"/>
  <c r="P2" i="1"/>
  <c r="O2" i="1"/>
  <c r="N2" i="1"/>
  <c r="M2" i="1"/>
  <c r="L2" i="1"/>
  <c r="K2" i="1"/>
  <c r="J2" i="1"/>
  <c r="I2" i="1"/>
  <c r="G3" i="1" l="1"/>
  <c r="G27" i="1"/>
  <c r="E25" i="1"/>
  <c r="H28" i="1"/>
  <c r="H11" i="1"/>
  <c r="H18" i="1"/>
  <c r="H20" i="1"/>
  <c r="F2" i="1"/>
  <c r="E19" i="1"/>
  <c r="H5" i="1"/>
  <c r="F10" i="1"/>
  <c r="E11" i="1"/>
  <c r="F14" i="1"/>
  <c r="F27" i="1"/>
  <c r="F16" i="1"/>
  <c r="F20" i="1"/>
  <c r="H23" i="1"/>
  <c r="H12" i="1"/>
  <c r="G15" i="1"/>
  <c r="E7" i="1"/>
  <c r="E23" i="1"/>
  <c r="E18" i="1"/>
  <c r="F19" i="1"/>
  <c r="E2" i="1"/>
  <c r="H6" i="1"/>
  <c r="F11" i="1"/>
  <c r="G14" i="1"/>
  <c r="F15" i="1"/>
  <c r="F25" i="1"/>
  <c r="F6" i="1"/>
  <c r="G9" i="1"/>
  <c r="F17" i="1"/>
  <c r="F21" i="1"/>
  <c r="E8" i="1"/>
  <c r="H19" i="1"/>
  <c r="E6" i="1"/>
  <c r="E24" i="1"/>
  <c r="F18" i="1"/>
  <c r="E5" i="1"/>
  <c r="E9" i="1"/>
  <c r="G13" i="1"/>
  <c r="E16" i="1"/>
  <c r="H16" i="1"/>
  <c r="F3" i="1"/>
  <c r="G5" i="1"/>
  <c r="H7" i="1"/>
  <c r="H22" i="1"/>
  <c r="F26" i="1"/>
  <c r="H27" i="1"/>
  <c r="F9" i="1"/>
  <c r="G4" i="1"/>
  <c r="E17" i="1"/>
  <c r="G21" i="1"/>
  <c r="H24" i="1"/>
  <c r="H8" i="1"/>
  <c r="H17" i="1"/>
  <c r="G25" i="1"/>
  <c r="H2" i="1"/>
  <c r="G7" i="1"/>
  <c r="H10" i="1"/>
  <c r="E13" i="1"/>
  <c r="H13" i="1"/>
  <c r="G22" i="1"/>
  <c r="G19" i="1"/>
  <c r="G23" i="1"/>
  <c r="G8" i="1"/>
  <c r="F13" i="1"/>
  <c r="H14" i="1"/>
  <c r="G17" i="1"/>
  <c r="E20" i="1"/>
  <c r="E26" i="1"/>
  <c r="H26" i="1"/>
  <c r="G11" i="1"/>
  <c r="G20" i="1"/>
  <c r="G28" i="1"/>
  <c r="F4" i="1"/>
  <c r="H9" i="1"/>
  <c r="G12" i="1"/>
  <c r="E27" i="1"/>
  <c r="G26" i="1"/>
  <c r="H3" i="1"/>
  <c r="G6" i="1"/>
  <c r="G10" i="1"/>
  <c r="H21" i="1"/>
  <c r="E3" i="1"/>
  <c r="F5" i="1"/>
  <c r="F7" i="1"/>
  <c r="E21" i="1"/>
  <c r="F24" i="1"/>
  <c r="H25" i="1"/>
  <c r="E10" i="1"/>
  <c r="E14" i="1"/>
  <c r="G16" i="1"/>
  <c r="E22" i="1"/>
  <c r="F23" i="1"/>
  <c r="G24" i="1"/>
  <c r="E28" i="1"/>
  <c r="H4" i="1"/>
  <c r="G2" i="1"/>
  <c r="F12" i="1"/>
  <c r="E15" i="1"/>
  <c r="H15" i="1"/>
  <c r="G18" i="1"/>
  <c r="F22" i="1"/>
  <c r="F28" i="1"/>
  <c r="F8" i="1"/>
  <c r="E4" i="1"/>
  <c r="E12" i="1"/>
  <c r="D3" i="1" l="1"/>
  <c r="D19" i="1"/>
  <c r="D6" i="1"/>
  <c r="D28" i="1"/>
  <c r="D13" i="1"/>
  <c r="D11" i="1"/>
  <c r="D26" i="1"/>
  <c r="D14" i="1"/>
  <c r="D7" i="1"/>
  <c r="D5" i="1"/>
  <c r="D16" i="1"/>
  <c r="D17" i="1"/>
  <c r="D20" i="1"/>
  <c r="D10" i="1"/>
  <c r="D21" i="1"/>
  <c r="D25" i="1"/>
  <c r="D8" i="1"/>
  <c r="D22" i="1"/>
  <c r="D18" i="1"/>
  <c r="D23" i="1"/>
  <c r="D27" i="1"/>
  <c r="D9" i="1"/>
  <c r="D2" i="1"/>
  <c r="D4" i="1"/>
  <c r="D12" i="1"/>
  <c r="D24" i="1"/>
  <c r="D15" i="1"/>
</calcChain>
</file>

<file path=xl/sharedStrings.xml><?xml version="1.0" encoding="utf-8"?>
<sst xmlns="http://schemas.openxmlformats.org/spreadsheetml/2006/main" count="929" uniqueCount="152">
  <si>
    <t>N</t>
  </si>
  <si>
    <t>Organismo</t>
  </si>
  <si>
    <t>Nivel organismo</t>
  </si>
  <si>
    <t>Índice de Capacidad Estadística Organismo</t>
  </si>
  <si>
    <t>1. Entorno Institucional</t>
  </si>
  <si>
    <t>2. Infraestructura</t>
  </si>
  <si>
    <t>3. Metodología Estadística</t>
  </si>
  <si>
    <t>4. Accesibilidad y uso</t>
  </si>
  <si>
    <t>1.1. Marco institucional</t>
  </si>
  <si>
    <t>1.2.Gestión del conocimiento</t>
  </si>
  <si>
    <t>2.1. Uso de herramientas de gestión y procesamiento de datos</t>
  </si>
  <si>
    <t>2.2. Recursos humanos, tecnológicos y financieros</t>
  </si>
  <si>
    <t>3.1. Operaciones estadísticas</t>
  </si>
  <si>
    <t>3.2. Indicadores</t>
  </si>
  <si>
    <t>3.3. Analítica de datos</t>
  </si>
  <si>
    <t>4.1. Disponibilidad y uso</t>
  </si>
  <si>
    <t>4.2. Accesibilidad</t>
  </si>
  <si>
    <t>1.1.1. Funciones relacionadas</t>
  </si>
  <si>
    <t>1.1.2. Procedimientos relacionados</t>
  </si>
  <si>
    <t>1.1.3. Herramientas de planificación procesamiento</t>
  </si>
  <si>
    <t xml:space="preserve">1.1.4. Herramientas de planificación mejoramiento </t>
  </si>
  <si>
    <t>1.2.1 Fortalecimiento de competencias estadísticas</t>
  </si>
  <si>
    <t>1.2.2. Participación en instancias de coordinación interinstitucional</t>
  </si>
  <si>
    <t>1.2.3 Trazabilidad y continuidad en los procesos estadísticos</t>
  </si>
  <si>
    <t>2.1.1. Herramientas de procesamiento de datos</t>
  </si>
  <si>
    <t>2.1.2. Uso de gestores de bases de datos en la entidad territorial para operaciones estadísticas, registros administrativos e indicadores</t>
  </si>
  <si>
    <t>2.1.3. Uso de herramientas de visualización y/o monitoreo de datos</t>
  </si>
  <si>
    <t>2.2.1. Percepción suficiencia herramientas de procesamiento y visualización</t>
  </si>
  <si>
    <t>2.2.2. Existencia de una persona, grupo o grupos internos de trabajo para la generación, procesamiento, análisis y difusión de información estadística</t>
  </si>
  <si>
    <t>2.2.3. Recurso humano disponible en cada etapa del proceso estadístico</t>
  </si>
  <si>
    <t>2.2.4. Percepción suficiencia del recurso humano para la generación, procesamiento, análisis y difusión de información estadística</t>
  </si>
  <si>
    <t>2.2.5. Recursos destinados de Hardware, Software y de personas para la generación, procesamiento, análisis y difusión de información estadística</t>
  </si>
  <si>
    <t>2.2.6. Percepción suficiencia en la asignación de recursos financieros para la generación, procesamiento, análisis y difusión de información estadística</t>
  </si>
  <si>
    <t>3.1.1. Existencia de documentos metodológicos de las operaciones estadísticas</t>
  </si>
  <si>
    <t>3.1.2. Existencia de fichas metodológicas de las operaciones estadísticas</t>
  </si>
  <si>
    <t>3.1.3. Existencia de manuales operativos, diccionario de datos y documentos de consistencia y validación de las operaciones estadísticas</t>
  </si>
  <si>
    <t>3.1.4. Implementación de acciones de fortalecimiento, calidad y mejoramiento de las operaciones estadísticas</t>
  </si>
  <si>
    <t>3.1.5. Uso de Lineamientos, normas y estándares para producción de estadísticas implementadas en el organismo</t>
  </si>
  <si>
    <t>3.1.6. Mecanimos para detección de necesidades misionales o estadísticas</t>
  </si>
  <si>
    <t>3.2.1. Proceso de análisis de indicadores de resultado liderados por el organismo</t>
  </si>
  <si>
    <t>3.2.2. Articulación entre organismos para el seguimiento de indicadores de producto</t>
  </si>
  <si>
    <t>3.2.3. Articulación entre organismos líderes de indicadores de producto y líderes indicadores de resultado</t>
  </si>
  <si>
    <t>3.3.1. Implementación de lineamientos metodológicos</t>
  </si>
  <si>
    <t xml:space="preserve">3.3.2. Uso de modelos de analítica de datos para optimizar los procesos </t>
  </si>
  <si>
    <t>3.3.3 Uso de herramientas de analítica avanzada disponibles en la entidad</t>
  </si>
  <si>
    <t>4.1.1. Uso de los indicadores del organismo</t>
  </si>
  <si>
    <t xml:space="preserve">4.1.2. Principales usuarios de la información </t>
  </si>
  <si>
    <t>4.1.3. Difusión de resultados estadísticos</t>
  </si>
  <si>
    <t>4.2.1. Uso de medios para la difusión de los resultados estadísticos</t>
  </si>
  <si>
    <t>4.2.2. Publicación de elementos en la página web o micrositio a disposición de grupos de interés</t>
  </si>
  <si>
    <t>4.2.3. Evaluación de la satisfacción de necesidades de información de los usuarios</t>
  </si>
  <si>
    <t>4.2.4. Uso de mecanismos para la medición de la satisfacción de necesidades de información de los usuarios</t>
  </si>
  <si>
    <t>Departamento Administrativo de Planeación Municipal</t>
  </si>
  <si>
    <t>Departamento Administrativo</t>
  </si>
  <si>
    <t>Secretaria de Salud Pública</t>
  </si>
  <si>
    <t>Secretaría</t>
  </si>
  <si>
    <t>Secretaría de Desarrollo Económico</t>
  </si>
  <si>
    <t>Secretaría de Movilidad</t>
  </si>
  <si>
    <t>Secretaría del Deporte y la Recreación</t>
  </si>
  <si>
    <t>Secretaría de Turismo</t>
  </si>
  <si>
    <t>Departamento Administrativo de Contratación Pública</t>
  </si>
  <si>
    <t>Secretaría de Paz y Cultura Ciudadana</t>
  </si>
  <si>
    <t>Secretaria de Educación</t>
  </si>
  <si>
    <t>Departamento Administrativo de Hacienda Municipal</t>
  </si>
  <si>
    <t>Secretaria de Bienestar Social</t>
  </si>
  <si>
    <t>Departamento Administrativo Tecnologías de la Información y las Comunicaciones</t>
  </si>
  <si>
    <t>Secretaria de Seguridad y Justicia</t>
  </si>
  <si>
    <t>Secretaría de Vivienda Social y Hábitat</t>
  </si>
  <si>
    <t>Secretaría de Infraestructura</t>
  </si>
  <si>
    <t>Departamento Administrativo de Gestión Jurídica Pública</t>
  </si>
  <si>
    <t>Departamento Administrativo de Control Disciplinario Interno</t>
  </si>
  <si>
    <t>Departamento Administrativo de Desarrollo E Innovación Institucional</t>
  </si>
  <si>
    <t>Departamento Administrativo de la Gestión del Medio Ambiente</t>
  </si>
  <si>
    <t>Secretaria de Gestión del Riesgo y de Emergencias y Desastres</t>
  </si>
  <si>
    <t>Unidad Administrativa Especial de Bienes y Servicios</t>
  </si>
  <si>
    <t>Unidad Administrativa Especial</t>
  </si>
  <si>
    <t>Secretaría de Desarrollo Territorial y Participación Ciudadana</t>
  </si>
  <si>
    <t>Secretaría de Cultura</t>
  </si>
  <si>
    <t>Unidad Administrativa Especial de Protección Animal</t>
  </si>
  <si>
    <t>Unidad Administrativa Especial de Servicios Públicos</t>
  </si>
  <si>
    <t>Secretaría de Gobierno</t>
  </si>
  <si>
    <t>Departamento Administrativo de Control Interno</t>
  </si>
  <si>
    <t>Etiquetas de fila</t>
  </si>
  <si>
    <t>Total general</t>
  </si>
  <si>
    <t>ICED</t>
  </si>
  <si>
    <t>Entorno Institucional</t>
  </si>
  <si>
    <t>Infraestructura</t>
  </si>
  <si>
    <t>Metodología Estadística</t>
  </si>
  <si>
    <t>Accesibilidad y uso</t>
  </si>
  <si>
    <t>Valores promedio del ICED por dimensión</t>
  </si>
  <si>
    <t>Categoría</t>
  </si>
  <si>
    <t>Etiquetas de columna</t>
  </si>
  <si>
    <t>(Todas)</t>
  </si>
  <si>
    <t>Resultado Subdimensión</t>
  </si>
  <si>
    <t>Organismos</t>
  </si>
  <si>
    <t>Subdimensión de operaciones estadísticas por categoría</t>
  </si>
  <si>
    <t>Subdimensión de operaciones estadísticas general</t>
  </si>
  <si>
    <t>Operaciones estadísticas</t>
  </si>
  <si>
    <t>Subdimensión de indicadores por categoría</t>
  </si>
  <si>
    <t>Subdimensión de analítica de datos</t>
  </si>
  <si>
    <t>Indicadores</t>
  </si>
  <si>
    <t>Analítica de datos</t>
  </si>
  <si>
    <t>Resultados dimensión Entorno institucional Por Subdimensión</t>
  </si>
  <si>
    <t>Contratación Pública</t>
  </si>
  <si>
    <t>Gestión Jurídica Pública</t>
  </si>
  <si>
    <t>Planeación</t>
  </si>
  <si>
    <t>Control Disciplinario Interno</t>
  </si>
  <si>
    <t>Control Interno</t>
  </si>
  <si>
    <t>Desarrollo e Innovación Institucional</t>
  </si>
  <si>
    <t>Turismo</t>
  </si>
  <si>
    <t>Desarrollo Económico</t>
  </si>
  <si>
    <t>Cultura</t>
  </si>
  <si>
    <t>Movilidad</t>
  </si>
  <si>
    <t>Desarrollo Territorial y Participación Ciudadana</t>
  </si>
  <si>
    <t>Gobierno</t>
  </si>
  <si>
    <t>Paz y Cultura Ciudadana</t>
  </si>
  <si>
    <t>Vivienda Social y Hábitat</t>
  </si>
  <si>
    <t>Salud Pública</t>
  </si>
  <si>
    <t>Seguridad y Justicia</t>
  </si>
  <si>
    <t>Educación</t>
  </si>
  <si>
    <t>Bienestar Social</t>
  </si>
  <si>
    <t>Bienes y Servicios</t>
  </si>
  <si>
    <t>Protección Animal</t>
  </si>
  <si>
    <t>Servicios Públicos</t>
  </si>
  <si>
    <t>Gestión del Riesgo de Emergencias y Desastres</t>
  </si>
  <si>
    <t>Hacienda</t>
  </si>
  <si>
    <t>Gestión del Medio Ambiente</t>
  </si>
  <si>
    <t>Tecnologías de la Información y las Comunicaciones</t>
  </si>
  <si>
    <t>Deporte y la Recreación</t>
  </si>
  <si>
    <t>Disponibilidad y uso</t>
  </si>
  <si>
    <t>Accesibilidad</t>
  </si>
  <si>
    <t>No aplica</t>
  </si>
  <si>
    <t>Control Disciplinario Interno de Instrucción</t>
  </si>
  <si>
    <t>AÑO</t>
  </si>
  <si>
    <t>Subdimensión de Marco Institucional</t>
  </si>
  <si>
    <t>Subdimensión de Gesitón del conocimiento</t>
  </si>
  <si>
    <t>Marco Institucional</t>
  </si>
  <si>
    <t>Subdimensión de marco institucional general</t>
  </si>
  <si>
    <t>Subdimensión de gestion del conocimiento general</t>
  </si>
  <si>
    <t>Subdimensión de herramientas de gestión y procesamiento de datos</t>
  </si>
  <si>
    <t>Herramientas de gestión y procesamiento de datos</t>
  </si>
  <si>
    <t>Subdimensión de  Recursos humanos, tecnológicos y financieros</t>
  </si>
  <si>
    <t>Subdimensión de herramientas de gestión y procesamiento de datos general</t>
  </si>
  <si>
    <t>Subdimensión d Recursos humanos, tecnológicos y financieros general</t>
  </si>
  <si>
    <t>Uso de herramientas de gestión y procesamiento de datos</t>
  </si>
  <si>
    <t>Recursos humanos, tecnológicos y financieros</t>
  </si>
  <si>
    <t>Marco institucional</t>
  </si>
  <si>
    <t>Gestión del conocimiento</t>
  </si>
  <si>
    <t>Promedio de Índice de Capacidad Estadística Organismo</t>
  </si>
  <si>
    <t>Promedio ICED</t>
  </si>
  <si>
    <t>Tipo Organismo</t>
  </si>
  <si>
    <t>4.1.4 Publicación de las OOEE en el SICODE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</si>
</sst>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_-* #,##0_-;\-* #,##0_-;_-* &quot;-&quot;??_-;_-@_-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Quattrocento Sans"/>
      <family val="2"/>
    </font>
    <font>
      <b/>
      <sz val="11"/>
      <color theme="1"/>
      <name val="Quattrocento Sans"/>
      <family val="2"/>
    </font>
    <font>
      <sz val="11"/>
      <color theme="1"/>
      <name val="Quattrocento Sans"/>
      <family val="2"/>
    </font>
    <font>
      <sz val="11"/>
      <name val="Quattrocento Sans"/>
      <family val="2"/>
    </font>
    <font>
      <sz val="12"/>
      <color rgb="FF000000"/>
      <name val="Quattrocento Sans"/>
      <family val="2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Quattrocento Sans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8E8E8"/>
        <bgColor theme="0" tint="-0.14999847407452621"/>
      </patternFill>
    </fill>
    <fill>
      <patternFill patternType="solid">
        <fgColor rgb="FFE8E8E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/>
    <xf numFmtId="0" fontId="5" fillId="0" borderId="6" xfId="0" applyFont="1" applyBorder="1"/>
    <xf numFmtId="0" fontId="4" fillId="0" borderId="6" xfId="0" applyFont="1" applyBorder="1"/>
    <xf numFmtId="0" fontId="4" fillId="0" borderId="0" xfId="0" applyFont="1"/>
    <xf numFmtId="9" fontId="4" fillId="0" borderId="0" xfId="1" applyFon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9" fontId="0" fillId="0" borderId="6" xfId="0" applyNumberFormat="1" applyBorder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6" xfId="1" applyFont="1" applyBorder="1"/>
    <xf numFmtId="9" fontId="7" fillId="2" borderId="6" xfId="1" applyFont="1" applyFill="1" applyBorder="1"/>
    <xf numFmtId="0" fontId="7" fillId="2" borderId="6" xfId="0" applyFont="1" applyFill="1" applyBorder="1"/>
    <xf numFmtId="0" fontId="7" fillId="2" borderId="6" xfId="0" applyFont="1" applyFill="1" applyBorder="1" applyAlignment="1">
      <alignment horizontal="center"/>
    </xf>
    <xf numFmtId="0" fontId="0" fillId="0" borderId="6" xfId="0" applyBorder="1"/>
    <xf numFmtId="9" fontId="0" fillId="0" borderId="6" xfId="1" applyFont="1" applyBorder="1" applyAlignment="1">
      <alignment horizontal="center"/>
    </xf>
    <xf numFmtId="9" fontId="4" fillId="0" borderId="6" xfId="1" applyFont="1" applyBorder="1"/>
    <xf numFmtId="9" fontId="4" fillId="0" borderId="6" xfId="1" applyFont="1" applyBorder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3" borderId="9" xfId="0" applyFont="1" applyFill="1" applyBorder="1" applyAlignment="1">
      <alignment horizontal="center" vertical="center" wrapText="1"/>
    </xf>
    <xf numFmtId="9" fontId="8" fillId="0" borderId="0" xfId="1" applyFont="1" applyBorder="1" applyAlignment="1">
      <alignment horizontal="center"/>
    </xf>
    <xf numFmtId="9" fontId="8" fillId="5" borderId="0" xfId="1" applyFont="1" applyFill="1" applyBorder="1" applyAlignment="1">
      <alignment horizontal="center"/>
    </xf>
    <xf numFmtId="0" fontId="10" fillId="4" borderId="0" xfId="0" applyFont="1" applyFill="1"/>
    <xf numFmtId="9" fontId="8" fillId="4" borderId="0" xfId="1" applyFont="1" applyFill="1" applyBorder="1" applyAlignment="1">
      <alignment horizontal="center"/>
    </xf>
    <xf numFmtId="0" fontId="11" fillId="0" borderId="6" xfId="0" applyFont="1" applyBorder="1"/>
    <xf numFmtId="9" fontId="8" fillId="0" borderId="6" xfId="1" applyFont="1" applyBorder="1" applyAlignment="1">
      <alignment horizontal="center"/>
    </xf>
    <xf numFmtId="0" fontId="11" fillId="0" borderId="0" xfId="0" applyFont="1"/>
    <xf numFmtId="0" fontId="11" fillId="6" borderId="0" xfId="0" applyFont="1" applyFill="1"/>
    <xf numFmtId="0" fontId="9" fillId="2" borderId="2" xfId="0" applyFont="1" applyFill="1" applyBorder="1" applyAlignment="1">
      <alignment horizontal="center" vertical="center" wrapText="1"/>
    </xf>
    <xf numFmtId="0" fontId="13" fillId="0" borderId="0" xfId="0" applyFont="1"/>
    <xf numFmtId="9" fontId="8" fillId="0" borderId="0" xfId="0" applyNumberFormat="1" applyFont="1"/>
    <xf numFmtId="9" fontId="8" fillId="0" borderId="0" xfId="0" applyNumberFormat="1" applyFont="1" applyAlignment="1">
      <alignment horizontal="center"/>
    </xf>
    <xf numFmtId="9" fontId="4" fillId="0" borderId="5" xfId="1" applyFont="1" applyBorder="1" applyAlignment="1">
      <alignment horizontal="right"/>
    </xf>
    <xf numFmtId="9" fontId="4" fillId="0" borderId="5" xfId="1" applyFont="1" applyBorder="1"/>
    <xf numFmtId="9" fontId="4" fillId="0" borderId="7" xfId="1" applyFont="1" applyBorder="1"/>
    <xf numFmtId="9" fontId="4" fillId="0" borderId="7" xfId="1" applyFont="1" applyBorder="1" applyAlignment="1">
      <alignment horizontal="right"/>
    </xf>
    <xf numFmtId="9" fontId="6" fillId="0" borderId="6" xfId="1" applyFont="1" applyBorder="1" applyAlignment="1">
      <alignment horizontal="right" vertical="center"/>
    </xf>
    <xf numFmtId="9" fontId="4" fillId="0" borderId="6" xfId="0" applyNumberFormat="1" applyFont="1" applyBorder="1" applyAlignment="1">
      <alignment horizontal="right" wrapText="1"/>
    </xf>
    <xf numFmtId="9" fontId="4" fillId="0" borderId="6" xfId="1" applyFont="1" applyBorder="1" applyAlignment="1">
      <alignment horizontal="right" wrapText="1"/>
    </xf>
    <xf numFmtId="9" fontId="4" fillId="0" borderId="8" xfId="1" applyFont="1" applyBorder="1" applyAlignment="1">
      <alignment horizontal="right"/>
    </xf>
    <xf numFmtId="9" fontId="4" fillId="0" borderId="8" xfId="1" applyFont="1" applyBorder="1"/>
    <xf numFmtId="0" fontId="9" fillId="2" borderId="0" xfId="0" applyFont="1" applyFill="1" applyAlignment="1">
      <alignment horizontal="center"/>
    </xf>
    <xf numFmtId="0" fontId="9" fillId="2" borderId="0" xfId="0" applyFont="1" applyFill="1"/>
    <xf numFmtId="0" fontId="8" fillId="0" borderId="0" xfId="0" applyFont="1" applyAlignment="1">
      <alignment horizontal="left" indent="1"/>
    </xf>
    <xf numFmtId="0" fontId="8" fillId="5" borderId="0" xfId="0" applyFont="1" applyFill="1" applyAlignment="1">
      <alignment horizontal="left" indent="1"/>
    </xf>
    <xf numFmtId="0" fontId="9" fillId="3" borderId="9" xfId="0" applyFont="1" applyFill="1" applyBorder="1" applyAlignment="1">
      <alignment vertical="center"/>
    </xf>
    <xf numFmtId="9" fontId="8" fillId="6" borderId="0" xfId="1" applyFont="1" applyFill="1" applyBorder="1" applyAlignment="1">
      <alignment horizontal="center"/>
    </xf>
    <xf numFmtId="9" fontId="0" fillId="0" borderId="0" xfId="0" applyNumberFormat="1"/>
    <xf numFmtId="0" fontId="11" fillId="0" borderId="0" xfId="0" applyFont="1" applyAlignment="1">
      <alignment horizontal="left" indent="1"/>
    </xf>
    <xf numFmtId="0" fontId="11" fillId="6" borderId="0" xfId="0" applyFont="1" applyFill="1" applyAlignment="1">
      <alignment horizontal="left" indent="1"/>
    </xf>
    <xf numFmtId="9" fontId="4" fillId="0" borderId="7" xfId="1" applyFont="1" applyBorder="1" applyAlignment="1">
      <alignment horizontal="center"/>
    </xf>
    <xf numFmtId="9" fontId="4" fillId="0" borderId="6" xfId="1" applyFont="1" applyBorder="1" applyAlignment="1">
      <alignment horizontal="center"/>
    </xf>
    <xf numFmtId="9" fontId="10" fillId="4" borderId="0" xfId="1" applyFont="1" applyFill="1" applyAlignment="1">
      <alignment horizontal="center"/>
    </xf>
    <xf numFmtId="9" fontId="6" fillId="0" borderId="5" xfId="1" applyFont="1" applyBorder="1" applyAlignment="1">
      <alignment horizontal="right" vertical="center"/>
    </xf>
    <xf numFmtId="9" fontId="6" fillId="0" borderId="7" xfId="1" applyFont="1" applyBorder="1" applyAlignment="1">
      <alignment horizontal="right" vertical="center"/>
    </xf>
    <xf numFmtId="9" fontId="16" fillId="0" borderId="7" xfId="1" applyFont="1" applyFill="1" applyBorder="1" applyAlignment="1">
      <alignment horizontal="right"/>
    </xf>
    <xf numFmtId="9" fontId="16" fillId="0" borderId="6" xfId="1" applyFont="1" applyFill="1" applyBorder="1" applyAlignment="1">
      <alignment horizontal="right"/>
    </xf>
    <xf numFmtId="0" fontId="0" fillId="0" borderId="6" xfId="0" applyBorder="1" applyAlignment="1">
      <alignment horizontal="right"/>
    </xf>
    <xf numFmtId="9" fontId="16" fillId="0" borderId="5" xfId="1" applyFont="1" applyFill="1" applyBorder="1" applyAlignment="1">
      <alignment horizontal="right"/>
    </xf>
    <xf numFmtId="9" fontId="16" fillId="0" borderId="8" xfId="1" applyFont="1" applyFill="1" applyBorder="1" applyAlignment="1">
      <alignment horizontal="right"/>
    </xf>
    <xf numFmtId="9" fontId="16" fillId="0" borderId="10" xfId="1" applyFont="1" applyFill="1" applyBorder="1" applyAlignment="1">
      <alignment horizontal="right"/>
    </xf>
    <xf numFmtId="9" fontId="16" fillId="0" borderId="11" xfId="1" applyFont="1" applyFill="1" applyBorder="1" applyAlignment="1">
      <alignment horizontal="right"/>
    </xf>
    <xf numFmtId="9" fontId="16" fillId="0" borderId="12" xfId="1" applyFont="1" applyFill="1" applyBorder="1" applyAlignment="1">
      <alignment horizontal="right"/>
    </xf>
    <xf numFmtId="9" fontId="16" fillId="0" borderId="13" xfId="1" applyFont="1" applyFill="1" applyBorder="1" applyAlignment="1">
      <alignment horizontal="right"/>
    </xf>
    <xf numFmtId="9" fontId="14" fillId="0" borderId="11" xfId="0" applyNumberFormat="1" applyFont="1" applyBorder="1" applyAlignment="1">
      <alignment horizontal="center"/>
    </xf>
    <xf numFmtId="0" fontId="16" fillId="0" borderId="11" xfId="0" applyFont="1" applyBorder="1"/>
    <xf numFmtId="0" fontId="5" fillId="0" borderId="11" xfId="0" applyFont="1" applyBorder="1"/>
    <xf numFmtId="9" fontId="16" fillId="0" borderId="7" xfId="1" applyFont="1" applyFill="1" applyBorder="1"/>
    <xf numFmtId="9" fontId="16" fillId="0" borderId="6" xfId="1" applyFont="1" applyFill="1" applyBorder="1"/>
    <xf numFmtId="9" fontId="16" fillId="0" borderId="5" xfId="1" applyFont="1" applyFill="1" applyBorder="1"/>
    <xf numFmtId="9" fontId="16" fillId="0" borderId="8" xfId="1" applyFont="1" applyFill="1" applyBorder="1"/>
    <xf numFmtId="9" fontId="14" fillId="0" borderId="6" xfId="0" applyNumberFormat="1" applyFont="1" applyBorder="1" applyAlignment="1">
      <alignment horizontal="center"/>
    </xf>
    <xf numFmtId="0" fontId="16" fillId="0" borderId="6" xfId="0" applyFont="1" applyBorder="1"/>
    <xf numFmtId="9" fontId="16" fillId="0" borderId="6" xfId="1" applyFont="1" applyFill="1" applyBorder="1" applyAlignment="1">
      <alignment horizontal="right" wrapText="1"/>
    </xf>
    <xf numFmtId="9" fontId="6" fillId="0" borderId="6" xfId="1" applyFont="1" applyFill="1" applyBorder="1" applyAlignment="1">
      <alignment horizontal="right" vertical="center"/>
    </xf>
    <xf numFmtId="9" fontId="6" fillId="0" borderId="7" xfId="1" applyFont="1" applyFill="1" applyBorder="1" applyAlignment="1">
      <alignment horizontal="right" vertical="center"/>
    </xf>
    <xf numFmtId="9" fontId="6" fillId="0" borderId="5" xfId="1" applyFont="1" applyFill="1" applyBorder="1" applyAlignment="1">
      <alignment horizontal="right" vertical="center"/>
    </xf>
    <xf numFmtId="9" fontId="6" fillId="0" borderId="8" xfId="1" applyFont="1" applyFill="1" applyBorder="1" applyAlignment="1">
      <alignment horizontal="right" vertical="center"/>
    </xf>
    <xf numFmtId="9" fontId="16" fillId="0" borderId="6" xfId="0" applyNumberFormat="1" applyFont="1" applyBorder="1" applyAlignment="1">
      <alignment horizontal="right" wrapText="1"/>
    </xf>
    <xf numFmtId="9" fontId="16" fillId="0" borderId="8" xfId="0" applyNumberFormat="1" applyFont="1" applyBorder="1" applyAlignment="1">
      <alignment horizontal="right" wrapText="1"/>
    </xf>
    <xf numFmtId="9" fontId="16" fillId="0" borderId="4" xfId="1" applyFont="1" applyFill="1" applyBorder="1" applyAlignment="1">
      <alignment horizontal="right"/>
    </xf>
    <xf numFmtId="9" fontId="16" fillId="0" borderId="2" xfId="1" applyFont="1" applyFill="1" applyBorder="1" applyAlignment="1">
      <alignment horizontal="right"/>
    </xf>
    <xf numFmtId="9" fontId="16" fillId="0" borderId="1" xfId="1" applyFont="1" applyFill="1" applyBorder="1" applyAlignment="1">
      <alignment horizontal="right"/>
    </xf>
    <xf numFmtId="9" fontId="14" fillId="0" borderId="2" xfId="0" applyNumberFormat="1" applyFont="1" applyBorder="1" applyAlignment="1">
      <alignment horizontal="center"/>
    </xf>
    <xf numFmtId="0" fontId="16" fillId="0" borderId="2" xfId="0" applyFont="1" applyBorder="1"/>
    <xf numFmtId="0" fontId="5" fillId="0" borderId="2" xfId="0" applyFont="1" applyBorder="1"/>
    <xf numFmtId="9" fontId="4" fillId="0" borderId="10" xfId="1" applyFont="1" applyBorder="1"/>
    <xf numFmtId="9" fontId="4" fillId="0" borderId="11" xfId="1" applyFont="1" applyBorder="1"/>
    <xf numFmtId="9" fontId="4" fillId="0" borderId="12" xfId="1" applyFont="1" applyBorder="1"/>
    <xf numFmtId="9" fontId="4" fillId="0" borderId="14" xfId="1" applyFont="1" applyBorder="1"/>
    <xf numFmtId="9" fontId="4" fillId="0" borderId="13" xfId="1" applyFont="1" applyBorder="1"/>
    <xf numFmtId="9" fontId="4" fillId="0" borderId="15" xfId="1" applyFont="1" applyBorder="1"/>
    <xf numFmtId="9" fontId="4" fillId="0" borderId="16" xfId="1" applyFont="1" applyBorder="1" applyAlignment="1">
      <alignment horizontal="right"/>
    </xf>
    <xf numFmtId="9" fontId="4" fillId="0" borderId="17" xfId="1" applyFont="1" applyBorder="1" applyAlignment="1">
      <alignment horizontal="right"/>
    </xf>
    <xf numFmtId="9" fontId="4" fillId="0" borderId="18" xfId="1" applyFont="1" applyBorder="1" applyAlignment="1">
      <alignment horizontal="right"/>
    </xf>
    <xf numFmtId="9" fontId="4" fillId="0" borderId="19" xfId="1" applyFont="1" applyBorder="1" applyAlignment="1">
      <alignment horizontal="right"/>
    </xf>
    <xf numFmtId="9" fontId="0" fillId="0" borderId="2" xfId="0" applyNumberFormat="1" applyBorder="1" applyAlignment="1">
      <alignment horizontal="center"/>
    </xf>
    <xf numFmtId="0" fontId="4" fillId="0" borderId="11" xfId="0" applyFont="1" applyBorder="1"/>
    <xf numFmtId="9" fontId="4" fillId="0" borderId="20" xfId="1" applyFont="1" applyBorder="1"/>
    <xf numFmtId="9" fontId="4" fillId="0" borderId="4" xfId="1" applyFont="1" applyBorder="1" applyAlignment="1">
      <alignment horizontal="right"/>
    </xf>
    <xf numFmtId="9" fontId="4" fillId="0" borderId="1" xfId="1" applyFont="1" applyBorder="1" applyAlignment="1">
      <alignment horizontal="right"/>
    </xf>
    <xf numFmtId="9" fontId="4" fillId="0" borderId="2" xfId="1" applyFont="1" applyBorder="1" applyAlignment="1">
      <alignment horizontal="right"/>
    </xf>
    <xf numFmtId="9" fontId="4" fillId="0" borderId="3" xfId="1" applyFont="1" applyBorder="1" applyAlignment="1">
      <alignment horizontal="right"/>
    </xf>
    <xf numFmtId="9" fontId="4" fillId="0" borderId="4" xfId="1" applyFont="1" applyFill="1" applyBorder="1" applyAlignment="1">
      <alignment horizontal="right"/>
    </xf>
    <xf numFmtId="9" fontId="4" fillId="0" borderId="1" xfId="1" applyFont="1" applyFill="1" applyBorder="1" applyAlignment="1">
      <alignment horizontal="right"/>
    </xf>
    <xf numFmtId="9" fontId="4" fillId="0" borderId="21" xfId="1" applyFont="1" applyBorder="1"/>
    <xf numFmtId="9" fontId="4" fillId="0" borderId="22" xfId="1" applyFont="1" applyBorder="1"/>
    <xf numFmtId="9" fontId="4" fillId="0" borderId="23" xfId="1" applyFont="1" applyBorder="1"/>
    <xf numFmtId="9" fontId="4" fillId="0" borderId="24" xfId="1" applyFont="1" applyBorder="1"/>
    <xf numFmtId="9" fontId="4" fillId="0" borderId="25" xfId="1" applyFont="1" applyBorder="1"/>
    <xf numFmtId="9" fontId="4" fillId="0" borderId="21" xfId="1" applyFont="1" applyBorder="1" applyAlignment="1">
      <alignment horizontal="right"/>
    </xf>
    <xf numFmtId="9" fontId="4" fillId="0" borderId="23" xfId="1" applyFont="1" applyBorder="1" applyAlignment="1">
      <alignment horizontal="right"/>
    </xf>
    <xf numFmtId="0" fontId="4" fillId="0" borderId="2" xfId="0" applyFont="1" applyBorder="1"/>
    <xf numFmtId="0" fontId="15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9" fontId="0" fillId="0" borderId="6" xfId="0" applyNumberFormat="1" applyBorder="1"/>
    <xf numFmtId="164" fontId="0" fillId="0" borderId="0" xfId="1" applyNumberFormat="1" applyFont="1"/>
    <xf numFmtId="9" fontId="8" fillId="0" borderId="0" xfId="1" applyFont="1" applyAlignment="1">
      <alignment horizontal="center"/>
    </xf>
    <xf numFmtId="9" fontId="9" fillId="3" borderId="9" xfId="1" applyFont="1" applyFill="1" applyBorder="1" applyAlignment="1">
      <alignment horizontal="center" vertical="center" wrapText="1"/>
    </xf>
    <xf numFmtId="9" fontId="8" fillId="4" borderId="0" xfId="1" applyFont="1" applyFill="1" applyAlignment="1">
      <alignment horizontal="center" vertical="center" wrapText="1"/>
    </xf>
    <xf numFmtId="9" fontId="9" fillId="2" borderId="2" xfId="1" applyFont="1" applyFill="1" applyBorder="1" applyAlignment="1">
      <alignment horizontal="center" vertical="center" wrapText="1"/>
    </xf>
    <xf numFmtId="0" fontId="9" fillId="2" borderId="0" xfId="1" applyNumberFormat="1" applyFont="1" applyFill="1" applyAlignment="1">
      <alignment horizontal="left"/>
    </xf>
    <xf numFmtId="0" fontId="9" fillId="2" borderId="0" xfId="0" applyFont="1" applyFill="1" applyAlignment="1">
      <alignment horizontal="left"/>
    </xf>
    <xf numFmtId="164" fontId="8" fillId="0" borderId="6" xfId="1" applyNumberFormat="1" applyFont="1" applyBorder="1" applyAlignment="1">
      <alignment horizontal="center"/>
    </xf>
    <xf numFmtId="9" fontId="12" fillId="4" borderId="0" xfId="0" applyNumberFormat="1" applyFont="1" applyFill="1" applyAlignment="1">
      <alignment horizontal="center" vertical="center" wrapText="1"/>
    </xf>
    <xf numFmtId="9" fontId="10" fillId="4" borderId="0" xfId="1" applyFont="1" applyFill="1" applyBorder="1" applyAlignment="1">
      <alignment horizontal="center"/>
    </xf>
    <xf numFmtId="9" fontId="10" fillId="4" borderId="0" xfId="0" applyNumberFormat="1" applyFont="1" applyFill="1" applyAlignment="1">
      <alignment horizontal="center" vertical="center" wrapText="1"/>
    </xf>
    <xf numFmtId="9" fontId="10" fillId="4" borderId="0" xfId="0" applyNumberFormat="1" applyFont="1" applyFill="1" applyAlignment="1">
      <alignment horizontal="center"/>
    </xf>
    <xf numFmtId="9" fontId="8" fillId="7" borderId="0" xfId="1" applyFont="1" applyFill="1" applyBorder="1" applyAlignment="1">
      <alignment horizontal="center"/>
    </xf>
    <xf numFmtId="9" fontId="11" fillId="0" borderId="0" xfId="1" applyFont="1" applyAlignment="1">
      <alignment horizontal="center"/>
    </xf>
    <xf numFmtId="9" fontId="11" fillId="6" borderId="0" xfId="1" applyFont="1" applyFill="1" applyAlignment="1">
      <alignment horizontal="center"/>
    </xf>
    <xf numFmtId="9" fontId="12" fillId="4" borderId="0" xfId="1" applyFont="1" applyFill="1" applyAlignment="1">
      <alignment horizontal="center" vertical="center" wrapText="1"/>
    </xf>
    <xf numFmtId="9" fontId="8" fillId="0" borderId="0" xfId="1" applyFont="1"/>
    <xf numFmtId="165" fontId="0" fillId="0" borderId="0" xfId="0" applyNumberFormat="1"/>
    <xf numFmtId="0" fontId="15" fillId="8" borderId="29" xfId="0" applyFont="1" applyFill="1" applyBorder="1"/>
    <xf numFmtId="0" fontId="15" fillId="8" borderId="30" xfId="0" applyFont="1" applyFill="1" applyBorder="1" applyAlignment="1">
      <alignment horizontal="left"/>
    </xf>
    <xf numFmtId="9" fontId="15" fillId="8" borderId="30" xfId="0" applyNumberFormat="1" applyFont="1" applyFill="1" applyBorder="1"/>
    <xf numFmtId="0" fontId="15" fillId="8" borderId="29" xfId="2" applyNumberFormat="1" applyFont="1" applyFill="1" applyBorder="1"/>
    <xf numFmtId="9" fontId="4" fillId="0" borderId="23" xfId="1" applyFont="1" applyFill="1" applyBorder="1" applyAlignment="1">
      <alignment horizontal="right"/>
    </xf>
    <xf numFmtId="9" fontId="4" fillId="0" borderId="22" xfId="1" applyFont="1" applyFill="1" applyBorder="1" applyAlignment="1">
      <alignment horizontal="right"/>
    </xf>
    <xf numFmtId="9" fontId="4" fillId="0" borderId="21" xfId="1" applyFont="1" applyFill="1" applyBorder="1" applyAlignment="1">
      <alignment horizontal="right"/>
    </xf>
    <xf numFmtId="9" fontId="4" fillId="0" borderId="24" xfId="1" applyFont="1" applyFill="1" applyBorder="1" applyAlignment="1">
      <alignment horizontal="right"/>
    </xf>
  </cellXfs>
  <cellStyles count="3">
    <cellStyle name="Millares" xfId="2" builtinId="3"/>
    <cellStyle name="Normal" xfId="0" builtinId="0"/>
    <cellStyle name="Porcentaje" xfId="1" builtinId="5"/>
  </cellStyles>
  <dxfs count="6">
    <dxf>
      <numFmt numFmtId="13" formatCode="0%"/>
    </dxf>
    <dxf>
      <alignment horizontal="center"/>
    </dxf>
    <dxf>
      <alignment horizontal="center"/>
    </dxf>
    <dxf>
      <numFmt numFmtId="13" formatCode="0%"/>
    </dxf>
    <dxf>
      <numFmt numFmtId="13" formatCode="0%"/>
    </dxf>
    <dxf>
      <numFmt numFmtId="165" formatCode="_-* #,##0_-;\-* #,##0_-;_-* &quot;-&quot;??_-;_-@_-"/>
    </dxf>
  </dxfs>
  <tableStyles count="0" defaultTableStyle="TableStyleMedium2" defaultPivotStyle="PivotStyleLight16"/>
  <colors>
    <mruColors>
      <color rgb="FFE8E8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resultados!$B$51</c:f>
              <c:strCache>
                <c:ptCount val="1"/>
                <c:pt idx="0">
                  <c:v>Departamento Administrativo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resultados!$C$50:$G$50</c:f>
              <c:strCache>
                <c:ptCount val="5"/>
                <c:pt idx="0">
                  <c:v>ICED</c:v>
                </c:pt>
                <c:pt idx="1">
                  <c:v>Entorno Institucional</c:v>
                </c:pt>
                <c:pt idx="2">
                  <c:v>Infraestructura</c:v>
                </c:pt>
                <c:pt idx="3">
                  <c:v>Metodología Estadística</c:v>
                </c:pt>
                <c:pt idx="4">
                  <c:v>Accesibilidad y uso</c:v>
                </c:pt>
              </c:strCache>
            </c:strRef>
          </c:cat>
          <c:val>
            <c:numRef>
              <c:f>resultados!$C$51:$G$51</c:f>
              <c:numCache>
                <c:formatCode>0%</c:formatCode>
                <c:ptCount val="5"/>
                <c:pt idx="0">
                  <c:v>0.60285138888888889</c:v>
                </c:pt>
                <c:pt idx="1">
                  <c:v>0.66930555555555549</c:v>
                </c:pt>
                <c:pt idx="2">
                  <c:v>0.76351851851851849</c:v>
                </c:pt>
                <c:pt idx="3">
                  <c:v>0.58427037037037033</c:v>
                </c:pt>
                <c:pt idx="4">
                  <c:v>0.39431111111111117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5A-4D29-B91B-5A5004C1C094}"/>
            </c:ext>
          </c:extLst>
        </c:ser>
        <c:ser>
          <c:idx val="1"/>
          <c:order val="1"/>
          <c:tx>
            <c:strRef>
              <c:f>resultados!$B$52</c:f>
              <c:strCache>
                <c:ptCount val="1"/>
                <c:pt idx="0">
                  <c:v>Secretaría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resultados!$C$50:$G$50</c:f>
              <c:strCache>
                <c:ptCount val="5"/>
                <c:pt idx="0">
                  <c:v>ICED</c:v>
                </c:pt>
                <c:pt idx="1">
                  <c:v>Entorno Institucional</c:v>
                </c:pt>
                <c:pt idx="2">
                  <c:v>Infraestructura</c:v>
                </c:pt>
                <c:pt idx="3">
                  <c:v>Metodología Estadística</c:v>
                </c:pt>
                <c:pt idx="4">
                  <c:v>Accesibilidad y uso</c:v>
                </c:pt>
              </c:strCache>
            </c:strRef>
          </c:cat>
          <c:val>
            <c:numRef>
              <c:f>resultados!$C$52:$G$52</c:f>
              <c:numCache>
                <c:formatCode>0%</c:formatCode>
                <c:ptCount val="5"/>
                <c:pt idx="0">
                  <c:v>0.60272328703703704</c:v>
                </c:pt>
                <c:pt idx="1">
                  <c:v>0.69822222222222219</c:v>
                </c:pt>
                <c:pt idx="2">
                  <c:v>0.71426851851851858</c:v>
                </c:pt>
                <c:pt idx="3">
                  <c:v>0.59853851851851847</c:v>
                </c:pt>
                <c:pt idx="4">
                  <c:v>0.39986388888888885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5A-4D29-B91B-5A5004C1C094}"/>
            </c:ext>
          </c:extLst>
        </c:ser>
        <c:ser>
          <c:idx val="2"/>
          <c:order val="2"/>
          <c:tx>
            <c:strRef>
              <c:f>resultados!$B$53</c:f>
              <c:strCache>
                <c:ptCount val="1"/>
                <c:pt idx="0">
                  <c:v>Unidad Administrativa Especial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resultados!$C$50:$G$50</c:f>
              <c:strCache>
                <c:ptCount val="5"/>
                <c:pt idx="0">
                  <c:v>ICED</c:v>
                </c:pt>
                <c:pt idx="1">
                  <c:v>Entorno Institucional</c:v>
                </c:pt>
                <c:pt idx="2">
                  <c:v>Infraestructura</c:v>
                </c:pt>
                <c:pt idx="3">
                  <c:v>Metodología Estadística</c:v>
                </c:pt>
                <c:pt idx="4">
                  <c:v>Accesibilidad y uso</c:v>
                </c:pt>
              </c:strCache>
            </c:strRef>
          </c:cat>
          <c:val>
            <c:numRef>
              <c:f>resultados!$C$53:$G$53</c:f>
              <c:numCache>
                <c:formatCode>0%</c:formatCode>
                <c:ptCount val="5"/>
                <c:pt idx="0">
                  <c:v>0.42243159722222218</c:v>
                </c:pt>
                <c:pt idx="1">
                  <c:v>0.45736111111111111</c:v>
                </c:pt>
                <c:pt idx="2">
                  <c:v>0.53097222222222229</c:v>
                </c:pt>
                <c:pt idx="3">
                  <c:v>0.38888888888888884</c:v>
                </c:pt>
                <c:pt idx="4">
                  <c:v>0.31250416666666669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5A-4D29-B91B-5A5004C1C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1279853200"/>
        <c:axId val="634811455"/>
      </c:barChart>
      <c:catAx>
        <c:axId val="1279853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1" u="none" strike="noStrike" kern="1200" cap="all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O" b="1" i="1">
                    <a:solidFill>
                      <a:sysClr val="windowText" lastClr="000000"/>
                    </a:solidFill>
                  </a:rPr>
                  <a:t>categoría</a:t>
                </a:r>
              </a:p>
            </c:rich>
          </c:tx>
          <c:layout>
            <c:manualLayout>
              <c:xMode val="edge"/>
              <c:yMode val="edge"/>
              <c:x val="0.13994140082942805"/>
              <c:y val="0.914754707108556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1" u="none" strike="noStrike" kern="1200" cap="all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634811455"/>
        <c:crosses val="autoZero"/>
        <c:auto val="1"/>
        <c:lblAlgn val="ctr"/>
        <c:lblOffset val="100"/>
        <c:noMultiLvlLbl val="0"/>
      </c:catAx>
      <c:valAx>
        <c:axId val="63481145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1" u="none" strike="noStrike" kern="1200" cap="all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O" b="1" i="1">
                    <a:solidFill>
                      <a:sysClr val="windowText" lastClr="000000"/>
                    </a:solidFill>
                  </a:rPr>
                  <a:t>puntaje promedio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1" u="none" strike="noStrike" kern="1200" cap="all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O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bg2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1279853200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826475618040192"/>
          <c:y val="0.90755584812348622"/>
          <c:w val="0.57060711066705783"/>
          <c:h val="6.02898110405009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resultados!$A$3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6092-4D43-9FF4-45987C2C786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092-4D43-9FF4-45987C2C786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6092-4D43-9FF4-45987C2C786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resultados!$B$2:$E$2</c:f>
              <c:strCache>
                <c:ptCount val="4"/>
                <c:pt idx="0">
                  <c:v>Entorno Institucional</c:v>
                </c:pt>
                <c:pt idx="1">
                  <c:v>Infraestructura</c:v>
                </c:pt>
                <c:pt idx="2">
                  <c:v>Metodología Estadística</c:v>
                </c:pt>
                <c:pt idx="3">
                  <c:v>Accesibilidad y uso</c:v>
                </c:pt>
              </c:strCache>
            </c:strRef>
          </c:cat>
          <c:val>
            <c:numRef>
              <c:f>resultados!$B$3:$E$3</c:f>
              <c:numCache>
                <c:formatCode>0%</c:formatCode>
                <c:ptCount val="4"/>
                <c:pt idx="0">
                  <c:v>0.71591460905349813</c:v>
                </c:pt>
                <c:pt idx="1">
                  <c:v>0.72402263374485598</c:v>
                </c:pt>
                <c:pt idx="2">
                  <c:v>0.58886582748851923</c:v>
                </c:pt>
                <c:pt idx="3">
                  <c:v>0.52322736625514399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5A-4D29-B91B-5A5004C1C094}"/>
            </c:ext>
          </c:extLst>
        </c:ser>
        <c:ser>
          <c:idx val="1"/>
          <c:order val="1"/>
          <c:tx>
            <c:strRef>
              <c:f>resultados!$A$5</c:f>
              <c:strCache>
                <c:ptCount val="1"/>
                <c:pt idx="0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resultados!$B$5:$E$5</c:f>
              <c:numCache>
                <c:formatCode>0%</c:formatCode>
                <c:ptCount val="4"/>
                <c:pt idx="0">
                  <c:v>0.66182098765432096</c:v>
                </c:pt>
                <c:pt idx="1">
                  <c:v>0.71031893004115199</c:v>
                </c:pt>
                <c:pt idx="2">
                  <c:v>0.57048806584362144</c:v>
                </c:pt>
                <c:pt idx="3">
                  <c:v>0.3883063271604939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7B5-4DFB-99D3-1749DD7C6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79853200"/>
        <c:axId val="634811455"/>
      </c:barChart>
      <c:catAx>
        <c:axId val="127985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634811455"/>
        <c:crosses val="autoZero"/>
        <c:auto val="1"/>
        <c:lblAlgn val="ctr"/>
        <c:lblOffset val="100"/>
        <c:noMultiLvlLbl val="0"/>
      </c:catAx>
      <c:valAx>
        <c:axId val="634811455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1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O" b="1" i="1"/>
                  <a:t>Dimensiones Índice de Capacidad Estadística Distrital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1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O"/>
            </a:p>
          </c:txPr>
        </c:title>
        <c:numFmt formatCode="0%" sourceLinked="1"/>
        <c:majorTickMark val="none"/>
        <c:minorTickMark val="none"/>
        <c:tickLblPos val="nextTo"/>
        <c:crossAx val="1279853200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O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EDA5-4C96-8E56-3DCEA3BC7A1C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DA5-4C96-8E56-3DCEA3BC7A1C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EDA5-4C96-8E56-3DCEA3BC7A1C}"/>
              </c:ext>
            </c:extLst>
          </c:dPt>
          <c:cat>
            <c:strRef>
              <c:f>resultados!$B$2:$E$2</c:f>
              <c:strCache>
                <c:ptCount val="4"/>
                <c:pt idx="0">
                  <c:v>Entorno Institucional</c:v>
                </c:pt>
                <c:pt idx="1">
                  <c:v>Infraestructura</c:v>
                </c:pt>
                <c:pt idx="2">
                  <c:v>Metodología Estadística</c:v>
                </c:pt>
                <c:pt idx="3">
                  <c:v>Accesibilidad y uso</c:v>
                </c:pt>
              </c:strCache>
            </c:strRef>
          </c:cat>
          <c:val>
            <c:numRef>
              <c:f>resultados!$B$5:$E$5</c:f>
              <c:numCache>
                <c:formatCode>0%</c:formatCode>
                <c:ptCount val="4"/>
                <c:pt idx="0">
                  <c:v>0.66182098765432096</c:v>
                </c:pt>
                <c:pt idx="1">
                  <c:v>0.71031893004115199</c:v>
                </c:pt>
                <c:pt idx="2">
                  <c:v>0.57048806584362144</c:v>
                </c:pt>
                <c:pt idx="3">
                  <c:v>0.3883063271604939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A5-4C96-8E56-3DCEA3BC7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538015376"/>
        <c:axId val="538015856"/>
      </c:barChart>
      <c:lineChart>
        <c:grouping val="standard"/>
        <c:varyColors val="0"/>
        <c:ser>
          <c:idx val="1"/>
          <c:order val="1"/>
          <c:spPr>
            <a:ln w="34925" cap="rnd">
              <a:solidFill>
                <a:schemeClr val="accent2"/>
              </a:solidFill>
              <a:prstDash val="dash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prstDash val="dashDot"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resultados!$B$2:$E$2</c:f>
              <c:strCache>
                <c:ptCount val="4"/>
                <c:pt idx="0">
                  <c:v>Entorno Institucional</c:v>
                </c:pt>
                <c:pt idx="1">
                  <c:v>Infraestructura</c:v>
                </c:pt>
                <c:pt idx="2">
                  <c:v>Metodología Estadística</c:v>
                </c:pt>
                <c:pt idx="3">
                  <c:v>Accesibilidad y uso</c:v>
                </c:pt>
              </c:strCache>
            </c:strRef>
          </c:cat>
          <c:val>
            <c:numRef>
              <c:f>resultados!$B$6:$E$6</c:f>
              <c:numCache>
                <c:formatCode>0%</c:formatCode>
                <c:ptCount val="4"/>
                <c:pt idx="0">
                  <c:v>0.66182098765432096</c:v>
                </c:pt>
                <c:pt idx="1">
                  <c:v>0.71031893004115199</c:v>
                </c:pt>
                <c:pt idx="2">
                  <c:v>0.57048806584362144</c:v>
                </c:pt>
                <c:pt idx="3">
                  <c:v>0.3883063271604939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DA5-4C96-8E56-3DCEA3BC7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8015376"/>
        <c:axId val="538015856"/>
      </c:lineChart>
      <c:catAx>
        <c:axId val="538015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Dimensiones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38015856"/>
        <c:crosses val="autoZero"/>
        <c:auto val="1"/>
        <c:lblAlgn val="ctr"/>
        <c:lblOffset val="100"/>
        <c:noMultiLvlLbl val="0"/>
      </c:catAx>
      <c:valAx>
        <c:axId val="53801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38015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211253046193534"/>
          <c:y val="4.2131332743434356E-2"/>
          <c:w val="0.68295849181558521"/>
          <c:h val="0.8281228606360655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resultados!$D$79</c:f>
              <c:strCache>
                <c:ptCount val="1"/>
                <c:pt idx="0">
                  <c:v>2024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 cap="flat" cmpd="sng" algn="ctr">
              <a:solidFill>
                <a:schemeClr val="accent3"/>
              </a:solidFill>
              <a:prstDash val="solid"/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resultados!$C$80:$C$83</c:f>
              <c:strCache>
                <c:ptCount val="4"/>
                <c:pt idx="0">
                  <c:v>Departamento Administrativo</c:v>
                </c:pt>
                <c:pt idx="1">
                  <c:v>Secretaría</c:v>
                </c:pt>
                <c:pt idx="2">
                  <c:v>Unidad Administrativa Especial</c:v>
                </c:pt>
                <c:pt idx="3">
                  <c:v>Promedio ICED</c:v>
                </c:pt>
              </c:strCache>
            </c:strRef>
          </c:cat>
          <c:val>
            <c:numRef>
              <c:f>resultados!$D$80:$D$83</c:f>
              <c:numCache>
                <c:formatCode>0%</c:formatCode>
                <c:ptCount val="4"/>
                <c:pt idx="0">
                  <c:v>0.64359836625514388</c:v>
                </c:pt>
                <c:pt idx="1">
                  <c:v>0.65079969135802473</c:v>
                </c:pt>
                <c:pt idx="2">
                  <c:v>0.52959490740740733</c:v>
                </c:pt>
                <c:pt idx="3">
                  <c:v>0.63493205144032905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09-4504-85FA-AF297F75C9C0}"/>
            </c:ext>
          </c:extLst>
        </c:ser>
        <c:ser>
          <c:idx val="1"/>
          <c:order val="1"/>
          <c:tx>
            <c:strRef>
              <c:f>resultados!$E$79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resultados!$C$80:$C$83</c:f>
              <c:strCache>
                <c:ptCount val="4"/>
                <c:pt idx="0">
                  <c:v>Departamento Administrativo</c:v>
                </c:pt>
                <c:pt idx="1">
                  <c:v>Secretaría</c:v>
                </c:pt>
                <c:pt idx="2">
                  <c:v>Unidad Administrativa Especial</c:v>
                </c:pt>
                <c:pt idx="3">
                  <c:v>Promedio ICED</c:v>
                </c:pt>
              </c:strCache>
            </c:strRef>
          </c:cat>
          <c:val>
            <c:numRef>
              <c:f>resultados!$E$80:$E$83</c:f>
              <c:numCache>
                <c:formatCode>0%</c:formatCode>
                <c:ptCount val="4"/>
                <c:pt idx="0">
                  <c:v>0.60285138888888889</c:v>
                </c:pt>
                <c:pt idx="1">
                  <c:v>0.60272328703703715</c:v>
                </c:pt>
                <c:pt idx="2">
                  <c:v>0.42243159722222218</c:v>
                </c:pt>
                <c:pt idx="3">
                  <c:v>0.58273357767489709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09-4504-85FA-AF297F75C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077546191"/>
        <c:axId val="1077545711"/>
      </c:barChart>
      <c:catAx>
        <c:axId val="107754619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1077545711"/>
        <c:crosses val="autoZero"/>
        <c:auto val="1"/>
        <c:lblAlgn val="ctr"/>
        <c:lblOffset val="100"/>
        <c:noMultiLvlLbl val="0"/>
      </c:catAx>
      <c:valAx>
        <c:axId val="1077545711"/>
        <c:scaling>
          <c:orientation val="minMax"/>
        </c:scaling>
        <c:delete val="1"/>
        <c:axPos val="t"/>
        <c:numFmt formatCode="0%" sourceLinked="1"/>
        <c:majorTickMark val="none"/>
        <c:minorTickMark val="none"/>
        <c:tickLblPos val="nextTo"/>
        <c:crossAx val="1077546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resultados!$C$83</c:f>
              <c:strCache>
                <c:ptCount val="1"/>
                <c:pt idx="0">
                  <c:v>Promedio ICED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 cap="flat" cmpd="sng" algn="ctr">
                <a:solidFill>
                  <a:schemeClr val="accent3"/>
                </a:solidFill>
                <a:prstDash val="solid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1-53F9-4E4C-9B98-19FD908BC355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2-53F9-4E4C-9B98-19FD908BC35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resultados!$D$79:$E$79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resultados!$D$83:$E$83</c:f>
              <c:numCache>
                <c:formatCode>0%</c:formatCode>
                <c:ptCount val="2"/>
                <c:pt idx="0">
                  <c:v>0.63493205144032905</c:v>
                </c:pt>
                <c:pt idx="1">
                  <c:v>0.58273357767489709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F9-4E4C-9B98-19FD908BC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6851919"/>
        <c:axId val="1206854319"/>
      </c:barChart>
      <c:catAx>
        <c:axId val="120685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1206854319"/>
        <c:crosses val="autoZero"/>
        <c:auto val="1"/>
        <c:lblAlgn val="ctr"/>
        <c:lblOffset val="100"/>
        <c:noMultiLvlLbl val="0"/>
      </c:catAx>
      <c:valAx>
        <c:axId val="1206854319"/>
        <c:scaling>
          <c:orientation val="minMax"/>
          <c:min val="0.4"/>
        </c:scaling>
        <c:delete val="1"/>
        <c:axPos val="l"/>
        <c:numFmt formatCode="0%" sourceLinked="1"/>
        <c:majorTickMark val="none"/>
        <c:minorTickMark val="none"/>
        <c:tickLblPos val="nextTo"/>
        <c:crossAx val="1206851919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707061235018085"/>
          <c:y val="0.18142536453334512"/>
          <c:w val="0.53085466198936271"/>
          <c:h val="0.78588756444886754"/>
        </c:manualLayout>
      </c:layout>
      <c:radarChart>
        <c:radarStyle val="marker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(ENTORNO!$A$70,ENTORNO!$A$80,ENTORNO!$A$96)</c:f>
              <c:strCache>
                <c:ptCount val="3"/>
                <c:pt idx="0">
                  <c:v>Departamento Administrativo</c:v>
                </c:pt>
                <c:pt idx="1">
                  <c:v>Secretaría</c:v>
                </c:pt>
                <c:pt idx="2">
                  <c:v>Unidad Administrativa Especial</c:v>
                </c:pt>
              </c:strCache>
            </c:strRef>
          </c:cat>
          <c:val>
            <c:numRef>
              <c:f>(ENTORNO!$B$70,ENTORNO!$B$80,ENTORNO!$B$96)</c:f>
              <c:numCache>
                <c:formatCode>0%</c:formatCode>
                <c:ptCount val="3"/>
                <c:pt idx="0">
                  <c:v>0.53999999999999992</c:v>
                </c:pt>
                <c:pt idx="1">
                  <c:v>0.57977777777777773</c:v>
                </c:pt>
                <c:pt idx="2">
                  <c:v>0.2688888888888889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91-4093-976E-D0F2689AE9E2}"/>
            </c:ext>
          </c:extLst>
        </c:ser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6.1111111111111109E-2"/>
                  <c:y val="6.0185185185185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C91-4093-976E-D0F2689AE9E2}"/>
                </c:ext>
              </c:extLst>
            </c:dLbl>
            <c:dLbl>
              <c:idx val="1"/>
              <c:layout>
                <c:manualLayout>
                  <c:x val="-8.0555555555555561E-2"/>
                  <c:y val="2.77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C91-4093-976E-D0F2689AE9E2}"/>
                </c:ext>
              </c:extLst>
            </c:dLbl>
            <c:dLbl>
              <c:idx val="2"/>
              <c:layout>
                <c:manualLayout>
                  <c:x val="-6.9444444444444475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C91-4093-976E-D0F2689AE9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(ENTORNO!$A$70,ENTORNO!$A$80,ENTORNO!$A$96)</c:f>
              <c:strCache>
                <c:ptCount val="3"/>
                <c:pt idx="0">
                  <c:v>Departamento Administrativo</c:v>
                </c:pt>
                <c:pt idx="1">
                  <c:v>Secretaría</c:v>
                </c:pt>
                <c:pt idx="2">
                  <c:v>Unidad Administrativa Especial</c:v>
                </c:pt>
              </c:strCache>
            </c:strRef>
          </c:cat>
          <c:val>
            <c:numRef>
              <c:f>(ENTORNO!$C$70,ENTORNO!$C$80,ENTORNO!$C$96)</c:f>
              <c:numCache>
                <c:formatCode>0%</c:formatCode>
                <c:ptCount val="3"/>
                <c:pt idx="0">
                  <c:v>0.53999999999999992</c:v>
                </c:pt>
                <c:pt idx="1">
                  <c:v>0.57977777777777784</c:v>
                </c:pt>
                <c:pt idx="2">
                  <c:v>0.2688888888888889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91-4093-976E-D0F2689AE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2652879"/>
        <c:axId val="1752652399"/>
      </c:radarChart>
      <c:catAx>
        <c:axId val="17526528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1752652399"/>
        <c:crosses val="autoZero"/>
        <c:auto val="1"/>
        <c:lblAlgn val="ctr"/>
        <c:lblOffset val="100"/>
        <c:noMultiLvlLbl val="0"/>
      </c:catAx>
      <c:valAx>
        <c:axId val="175265239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crossAx val="1752652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499075893219421"/>
          <c:y val="0.14269986968930626"/>
          <c:w val="0.55397867830038205"/>
          <c:h val="0.81062876194467892"/>
        </c:manualLayout>
      </c:layout>
      <c:radarChart>
        <c:radarStyle val="marker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8.2424232984101203E-2"/>
                  <c:y val="2.81423693659071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609-41F6-BA1E-19FDB00D2D9D}"/>
                </c:ext>
              </c:extLst>
            </c:dLbl>
            <c:dLbl>
              <c:idx val="1"/>
              <c:layout>
                <c:manualLayout>
                  <c:x val="-8.5219364644938178E-2"/>
                  <c:y val="3.913548179938166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09-41F6-BA1E-19FDB00D2D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(ENTORNO!$A$5,ENTORNO!$A$15,ENTORNO!$A$31)</c:f>
              <c:strCache>
                <c:ptCount val="3"/>
                <c:pt idx="0">
                  <c:v>Departamento Administrativo</c:v>
                </c:pt>
                <c:pt idx="1">
                  <c:v>Secretaría</c:v>
                </c:pt>
                <c:pt idx="2">
                  <c:v>Unidad Administrativa Especial</c:v>
                </c:pt>
              </c:strCache>
            </c:strRef>
          </c:cat>
          <c:val>
            <c:numRef>
              <c:f>(ENTORNO!$C$5,ENTORNO!$C$15,ENTORNO!$C$31)</c:f>
              <c:numCache>
                <c:formatCode>0%</c:formatCode>
                <c:ptCount val="3"/>
                <c:pt idx="0">
                  <c:v>0.79861111111111116</c:v>
                </c:pt>
                <c:pt idx="1">
                  <c:v>0.81666666666666665</c:v>
                </c:pt>
                <c:pt idx="2">
                  <c:v>0.64583333333333337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09-41F6-BA1E-19FDB00D2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9621743"/>
        <c:axId val="1759617423"/>
      </c:radarChart>
      <c:catAx>
        <c:axId val="175962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1759617423"/>
        <c:crosses val="autoZero"/>
        <c:auto val="1"/>
        <c:lblAlgn val="ctr"/>
        <c:lblOffset val="100"/>
        <c:noMultiLvlLbl val="0"/>
      </c:catAx>
      <c:valAx>
        <c:axId val="175961742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759621743"/>
        <c:crosses val="autoZero"/>
        <c:crossBetween val="between"/>
        <c:majorUnit val="0.2"/>
        <c:min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431014873140856"/>
          <c:y val="0.16751603966170894"/>
          <c:w val="0.48890864448395571"/>
          <c:h val="0.73675816564596097"/>
        </c:manualLayout>
      </c:layout>
      <c:radarChart>
        <c:radarStyle val="marker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(INFRAESTRUCTURA!$A$70,INFRAESTRUCTURA!$A$80,INFRAESTRUCTURA!$A$96)</c:f>
              <c:strCache>
                <c:ptCount val="3"/>
                <c:pt idx="0">
                  <c:v>Departamento Administrativo</c:v>
                </c:pt>
                <c:pt idx="1">
                  <c:v>Secretaría</c:v>
                </c:pt>
                <c:pt idx="2">
                  <c:v>Unidad Administrativa Especial</c:v>
                </c:pt>
              </c:strCache>
            </c:strRef>
          </c:cat>
          <c:val>
            <c:numRef>
              <c:f>(INFRAESTRUCTURA!$B$70,INFRAESTRUCTURA!$B$80,INFRAESTRUCTURA!$B$96)</c:f>
              <c:numCache>
                <c:formatCode>0%</c:formatCode>
                <c:ptCount val="3"/>
                <c:pt idx="0">
                  <c:v>0.67518518518518511</c:v>
                </c:pt>
                <c:pt idx="1">
                  <c:v>0.65075925925925915</c:v>
                </c:pt>
                <c:pt idx="2">
                  <c:v>0.50638888888888889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88-4911-B84A-C11BA7887BE9}"/>
            </c:ext>
          </c:extLst>
        </c:ser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6.1111111111111109E-2"/>
                  <c:y val="6.0185185185185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F88-4911-B84A-C11BA7887BE9}"/>
                </c:ext>
              </c:extLst>
            </c:dLbl>
            <c:dLbl>
              <c:idx val="1"/>
              <c:layout>
                <c:manualLayout>
                  <c:x val="-8.0555555555555561E-2"/>
                  <c:y val="2.77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F88-4911-B84A-C11BA7887BE9}"/>
                </c:ext>
              </c:extLst>
            </c:dLbl>
            <c:dLbl>
              <c:idx val="2"/>
              <c:layout>
                <c:manualLayout>
                  <c:x val="-6.9444444444444475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F88-4911-B84A-C11BA7887B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(INFRAESTRUCTURA!$A$70,INFRAESTRUCTURA!$A$80,INFRAESTRUCTURA!$A$96)</c:f>
              <c:strCache>
                <c:ptCount val="3"/>
                <c:pt idx="0">
                  <c:v>Departamento Administrativo</c:v>
                </c:pt>
                <c:pt idx="1">
                  <c:v>Secretaría</c:v>
                </c:pt>
                <c:pt idx="2">
                  <c:v>Unidad Administrativa Especial</c:v>
                </c:pt>
              </c:strCache>
            </c:strRef>
          </c:cat>
          <c:val>
            <c:numRef>
              <c:f>(INFRAESTRUCTURA!$C$70,INFRAESTRUCTURA!$C$80,INFRAESTRUCTURA!$C$96)</c:f>
              <c:numCache>
                <c:formatCode>0%</c:formatCode>
                <c:ptCount val="3"/>
                <c:pt idx="0">
                  <c:v>0.67518518518518522</c:v>
                </c:pt>
                <c:pt idx="1">
                  <c:v>0.65075925925925937</c:v>
                </c:pt>
                <c:pt idx="2">
                  <c:v>0.50638888888888889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88-4911-B84A-C11BA7887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2652879"/>
        <c:axId val="1752652399"/>
      </c:radarChart>
      <c:catAx>
        <c:axId val="17526528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1752652399"/>
        <c:crosses val="autoZero"/>
        <c:auto val="1"/>
        <c:lblAlgn val="ctr"/>
        <c:lblOffset val="100"/>
        <c:noMultiLvlLbl val="0"/>
      </c:catAx>
      <c:valAx>
        <c:axId val="175265239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crossAx val="1752652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499075893219421"/>
          <c:y val="0.14269986968930626"/>
          <c:w val="0.55397867830038205"/>
          <c:h val="0.81062876194467892"/>
        </c:manualLayout>
      </c:layout>
      <c:radarChart>
        <c:radarStyle val="marker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8.2424232984101203E-2"/>
                  <c:y val="2.81423693659071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0F4-41E3-817F-230B69EDCF94}"/>
                </c:ext>
              </c:extLst>
            </c:dLbl>
            <c:dLbl>
              <c:idx val="1"/>
              <c:layout>
                <c:manualLayout>
                  <c:x val="-8.5219364644938178E-2"/>
                  <c:y val="3.913548179938166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0F4-41E3-817F-230B69EDCF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(INFRAESTRUCTURA!$A$5,INFRAESTRUCTURA!$A$15,INFRAESTRUCTURA!$A$31)</c:f>
              <c:strCache>
                <c:ptCount val="3"/>
                <c:pt idx="0">
                  <c:v>Departamento Administrativo</c:v>
                </c:pt>
                <c:pt idx="1">
                  <c:v>Secretaría</c:v>
                </c:pt>
                <c:pt idx="2">
                  <c:v>Unidad Administrativa Especial</c:v>
                </c:pt>
              </c:strCache>
            </c:strRef>
          </c:cat>
          <c:val>
            <c:numRef>
              <c:f>(INFRAESTRUCTURA!$C$5,INFRAESTRUCTURA!$C$15,INFRAESTRUCTURA!$C$31)</c:f>
              <c:numCache>
                <c:formatCode>0%</c:formatCode>
                <c:ptCount val="3"/>
                <c:pt idx="0">
                  <c:v>0.85185185185185197</c:v>
                </c:pt>
                <c:pt idx="1">
                  <c:v>0.7777777777777779</c:v>
                </c:pt>
                <c:pt idx="2">
                  <c:v>0.55555555555555569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F4-41E3-817F-230B69EDC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9621743"/>
        <c:axId val="1759617423"/>
      </c:radarChart>
      <c:catAx>
        <c:axId val="175962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1759617423"/>
        <c:crosses val="autoZero"/>
        <c:auto val="1"/>
        <c:lblAlgn val="ctr"/>
        <c:lblOffset val="100"/>
        <c:noMultiLvlLbl val="0"/>
      </c:catAx>
      <c:valAx>
        <c:axId val="175961742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759621743"/>
        <c:crosses val="autoZero"/>
        <c:crossBetween val="between"/>
        <c:majorUnit val="0.2"/>
        <c:min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431014873140856"/>
          <c:y val="0.16751603966170894"/>
          <c:w val="0.48890864448395571"/>
          <c:h val="0.73675816564596097"/>
        </c:manualLayout>
      </c:layout>
      <c:radarChart>
        <c:radarStyle val="marker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(METOD_ESTAD!$A$70,METOD_ESTAD!$A$80,METOD_ESTAD!$A$96)</c:f>
              <c:strCache>
                <c:ptCount val="3"/>
                <c:pt idx="0">
                  <c:v>Departamento Administrativo</c:v>
                </c:pt>
                <c:pt idx="1">
                  <c:v>Secretaría</c:v>
                </c:pt>
                <c:pt idx="2">
                  <c:v>Unidad Administrativa Especial</c:v>
                </c:pt>
              </c:strCache>
            </c:strRef>
          </c:cat>
          <c:val>
            <c:numRef>
              <c:f>(METOD_ESTAD!$B$70,METOD_ESTAD!$B$80,METOD_ESTAD!$B$96)</c:f>
              <c:numCache>
                <c:formatCode>0%</c:formatCode>
                <c:ptCount val="3"/>
                <c:pt idx="0">
                  <c:v>0.66666666666666663</c:v>
                </c:pt>
                <c:pt idx="1">
                  <c:v>0.71111111111111103</c:v>
                </c:pt>
                <c:pt idx="2">
                  <c:v>0.44444444444444442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6D-434F-91BA-E024BF1C17F7}"/>
            </c:ext>
          </c:extLst>
        </c:ser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6.1111111111111109E-2"/>
                  <c:y val="6.0185185185185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D6D-434F-91BA-E024BF1C17F7}"/>
                </c:ext>
              </c:extLst>
            </c:dLbl>
            <c:dLbl>
              <c:idx val="1"/>
              <c:layout>
                <c:manualLayout>
                  <c:x val="-8.0555555555555561E-2"/>
                  <c:y val="2.77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D6D-434F-91BA-E024BF1C17F7}"/>
                </c:ext>
              </c:extLst>
            </c:dLbl>
            <c:dLbl>
              <c:idx val="2"/>
              <c:layout>
                <c:manualLayout>
                  <c:x val="-6.9444444444444475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D6D-434F-91BA-E024BF1C17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(METOD_ESTAD!$A$70,METOD_ESTAD!$A$80,METOD_ESTAD!$A$96)</c:f>
              <c:strCache>
                <c:ptCount val="3"/>
                <c:pt idx="0">
                  <c:v>Departamento Administrativo</c:v>
                </c:pt>
                <c:pt idx="1">
                  <c:v>Secretaría</c:v>
                </c:pt>
                <c:pt idx="2">
                  <c:v>Unidad Administrativa Especial</c:v>
                </c:pt>
              </c:strCache>
            </c:strRef>
          </c:cat>
          <c:val>
            <c:numRef>
              <c:f>(METOD_ESTAD!$C$70,METOD_ESTAD!$C$80,METOD_ESTAD!$C$96)</c:f>
              <c:numCache>
                <c:formatCode>0%</c:formatCode>
                <c:ptCount val="3"/>
                <c:pt idx="0">
                  <c:v>0.66666666666666652</c:v>
                </c:pt>
                <c:pt idx="1">
                  <c:v>0.71111111111111136</c:v>
                </c:pt>
                <c:pt idx="2">
                  <c:v>0.44444444444444442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6D-434F-91BA-E024BF1C17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2652879"/>
        <c:axId val="1752652399"/>
      </c:radarChart>
      <c:catAx>
        <c:axId val="17526528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1752652399"/>
        <c:crosses val="autoZero"/>
        <c:auto val="1"/>
        <c:lblAlgn val="ctr"/>
        <c:lblOffset val="100"/>
        <c:noMultiLvlLbl val="0"/>
      </c:catAx>
      <c:valAx>
        <c:axId val="175265239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crossAx val="1752652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499075893219421"/>
          <c:y val="0.14269986968930626"/>
          <c:w val="0.55397867830038205"/>
          <c:h val="0.81062876194467892"/>
        </c:manualLayout>
      </c:layout>
      <c:radarChart>
        <c:radarStyle val="marker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8.2424232984101203E-2"/>
                  <c:y val="2.81423693659071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2E4-4AB3-AC8F-723D47E7EF8A}"/>
                </c:ext>
              </c:extLst>
            </c:dLbl>
            <c:dLbl>
              <c:idx val="1"/>
              <c:layout>
                <c:manualLayout>
                  <c:x val="-8.5219364644938178E-2"/>
                  <c:y val="3.913548179938166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2E4-4AB3-AC8F-723D47E7EF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(METOD_ESTAD!$A$5,METOD_ESTAD!$A$15,METOD_ESTAD!$A$31)</c:f>
              <c:strCache>
                <c:ptCount val="3"/>
                <c:pt idx="0">
                  <c:v>Departamento Administrativo</c:v>
                </c:pt>
                <c:pt idx="1">
                  <c:v>Secretaría</c:v>
                </c:pt>
                <c:pt idx="2">
                  <c:v>Unidad Administrativa Especial</c:v>
                </c:pt>
              </c:strCache>
            </c:strRef>
          </c:cat>
          <c:val>
            <c:numRef>
              <c:f>(METOD_ESTAD!$C$5,METOD_ESTAD!$C$15,METOD_ESTAD!$C$31)</c:f>
              <c:numCache>
                <c:formatCode>0%</c:formatCode>
                <c:ptCount val="3"/>
                <c:pt idx="0">
                  <c:v>0.43799629629629622</c:v>
                </c:pt>
                <c:pt idx="1">
                  <c:v>0.42339333333333323</c:v>
                </c:pt>
                <c:pt idx="2">
                  <c:v>0.22222222222222221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E4-4AB3-AC8F-723D47E7E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9621743"/>
        <c:axId val="1759617423"/>
      </c:radarChart>
      <c:catAx>
        <c:axId val="175962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1759617423"/>
        <c:crosses val="autoZero"/>
        <c:auto val="1"/>
        <c:lblAlgn val="ctr"/>
        <c:lblOffset val="100"/>
        <c:noMultiLvlLbl val="0"/>
      </c:catAx>
      <c:valAx>
        <c:axId val="175961742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759621743"/>
        <c:crosses val="autoZero"/>
        <c:crossBetween val="between"/>
        <c:min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1202065495031072"/>
          <c:y val="0.11076697295103607"/>
          <c:w val="0.55397867830038205"/>
          <c:h val="0.81062876194467892"/>
        </c:manualLayout>
      </c:layout>
      <c:radarChart>
        <c:radarStyle val="marker"/>
        <c:varyColors val="0"/>
        <c:ser>
          <c:idx val="0"/>
          <c:order val="0"/>
          <c:spPr>
            <a:ln w="34925" cap="rnd">
              <a:solidFill>
                <a:srgbClr val="196B2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5"/>
            <c:spPr>
              <a:solidFill>
                <a:srgbClr val="196B24"/>
              </a:solidFill>
              <a:ln w="9525">
                <a:solidFill>
                  <a:srgbClr val="196B2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8.5202099737532802E-2"/>
                  <c:y val="9.29571303587051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2E4-4AB3-AC8F-723D47E7EF8A}"/>
                </c:ext>
              </c:extLst>
            </c:dLbl>
            <c:dLbl>
              <c:idx val="1"/>
              <c:layout>
                <c:manualLayout>
                  <c:x val="-8.5219364644938178E-2"/>
                  <c:y val="3.913548179938166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2E4-4AB3-AC8F-723D47E7EF8A}"/>
                </c:ext>
              </c:extLst>
            </c:dLbl>
            <c:dLbl>
              <c:idx val="2"/>
              <c:layout>
                <c:manualLayout>
                  <c:x val="2.5000000000000001E-2"/>
                  <c:y val="6.48148148148147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311-46CB-B43A-9B0AE1FE1B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(METOD_ESTAD!$A$104,METOD_ESTAD!$A$114,METOD_ESTAD!$A$130)</c:f>
              <c:strCache>
                <c:ptCount val="3"/>
                <c:pt idx="0">
                  <c:v>Departamento Administrativo</c:v>
                </c:pt>
                <c:pt idx="1">
                  <c:v>Secretaría</c:v>
                </c:pt>
                <c:pt idx="2">
                  <c:v>Unidad Administrativa Especial</c:v>
                </c:pt>
              </c:strCache>
            </c:strRef>
          </c:cat>
          <c:val>
            <c:numRef>
              <c:f>(METOD_ESTAD!$C$104,METOD_ESTAD!$C$114,METOD_ESTAD!$C$130)</c:f>
              <c:numCache>
                <c:formatCode>0%</c:formatCode>
                <c:ptCount val="3"/>
                <c:pt idx="0">
                  <c:v>0.64814814814814814</c:v>
                </c:pt>
                <c:pt idx="1">
                  <c:v>0.66111111111111098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E4-4AB3-AC8F-723D47E7E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9621743"/>
        <c:axId val="1759617423"/>
      </c:radarChart>
      <c:catAx>
        <c:axId val="175962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1759617423"/>
        <c:crosses val="autoZero"/>
        <c:auto val="1"/>
        <c:lblAlgn val="ctr"/>
        <c:lblOffset val="100"/>
        <c:noMultiLvlLbl val="0"/>
      </c:catAx>
      <c:valAx>
        <c:axId val="175961742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759621743"/>
        <c:crosses val="autoZero"/>
        <c:crossBetween val="between"/>
        <c:majorUnit val="0.2"/>
        <c:min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431014873140856"/>
          <c:y val="0.16459098862642169"/>
          <c:w val="0.44693525809273843"/>
          <c:h val="0.7448920968212307"/>
        </c:manualLayout>
      </c:layout>
      <c:radarChart>
        <c:radarStyle val="marker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7.4999999999999997E-2"/>
                  <c:y val="6.48148148148148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DF0-4B71-A87F-128BCB191D95}"/>
                </c:ext>
              </c:extLst>
            </c:dLbl>
            <c:dLbl>
              <c:idx val="1"/>
              <c:layout>
                <c:manualLayout>
                  <c:x val="1.6666666666666666E-2"/>
                  <c:y val="-4.16666666666667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87A-40DD-8384-64467741CE91}"/>
                </c:ext>
              </c:extLst>
            </c:dLbl>
            <c:dLbl>
              <c:idx val="2"/>
              <c:layout>
                <c:manualLayout>
                  <c:x val="-2.5000000000000001E-2"/>
                  <c:y val="-4.16666666666667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87A-40DD-8384-64467741CE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('ACCESIBILIDAD Y USO'!$B$64,'ACCESIBILIDAD Y USO'!$B$74,'ACCESIBILIDAD Y USO'!$B$90)</c:f>
              <c:strCache>
                <c:ptCount val="3"/>
                <c:pt idx="0">
                  <c:v>Departamento Administrativo</c:v>
                </c:pt>
                <c:pt idx="1">
                  <c:v>Secretaría</c:v>
                </c:pt>
                <c:pt idx="2">
                  <c:v>Unidad Administrativa Especial</c:v>
                </c:pt>
              </c:strCache>
            </c:strRef>
          </c:cat>
          <c:val>
            <c:numRef>
              <c:f>('ACCESIBILIDAD Y USO'!$D$64,'ACCESIBILIDAD Y USO'!$D$74,'ACCESIBILIDAD Y USO'!$D$90)</c:f>
              <c:numCache>
                <c:formatCode>0%</c:formatCode>
                <c:ptCount val="3"/>
                <c:pt idx="0">
                  <c:v>0.56639444444444442</c:v>
                </c:pt>
                <c:pt idx="1">
                  <c:v>0.56500166666666662</c:v>
                </c:pt>
                <c:pt idx="2">
                  <c:v>0.4236138888888889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F0-4B71-A87F-128BCB191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720032"/>
        <c:axId val="231725792"/>
      </c:radarChart>
      <c:catAx>
        <c:axId val="23172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31725792"/>
        <c:crosses val="autoZero"/>
        <c:auto val="1"/>
        <c:lblAlgn val="ctr"/>
        <c:lblOffset val="100"/>
        <c:noMultiLvlLbl val="0"/>
      </c:catAx>
      <c:valAx>
        <c:axId val="231725792"/>
        <c:scaling>
          <c:orientation val="minMax"/>
          <c:max val="0.70000000000000007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3172003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431014873140856"/>
          <c:y val="0.13681321084864392"/>
          <c:w val="0.46360192475940509"/>
          <c:h val="0.77266987459900849"/>
        </c:manualLayout>
      </c:layout>
      <c:radarChart>
        <c:radarStyle val="marker"/>
        <c:varyColors val="0"/>
        <c:ser>
          <c:idx val="0"/>
          <c:order val="0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7.2222222222222215E-2"/>
                  <c:y val="8.3333333333333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492-4DDF-8143-E2E56FFBFB42}"/>
                </c:ext>
              </c:extLst>
            </c:dLbl>
            <c:dLbl>
              <c:idx val="1"/>
              <c:layout>
                <c:manualLayout>
                  <c:x val="1.9444444444444445E-2"/>
                  <c:y val="-9.72222222222223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492-4DDF-8143-E2E56FFBFB42}"/>
                </c:ext>
              </c:extLst>
            </c:dLbl>
            <c:dLbl>
              <c:idx val="2"/>
              <c:layout>
                <c:manualLayout>
                  <c:x val="4.7222222222222172E-2"/>
                  <c:y val="4.16666666666665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492-4DDF-8143-E2E56FFBFB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('ACCESIBILIDAD Y USO'!$B$99,'ACCESIBILIDAD Y USO'!$B$109,'ACCESIBILIDAD Y USO'!$B$125)</c:f>
              <c:strCache>
                <c:ptCount val="3"/>
                <c:pt idx="0">
                  <c:v>Departamento Administrativo</c:v>
                </c:pt>
                <c:pt idx="1">
                  <c:v>Secretaría</c:v>
                </c:pt>
                <c:pt idx="2">
                  <c:v>Unidad Administrativa Especial</c:v>
                </c:pt>
              </c:strCache>
            </c:strRef>
          </c:cat>
          <c:val>
            <c:numRef>
              <c:f>('ACCESIBILIDAD Y USO'!$D$99,'ACCESIBILIDAD Y USO'!$D$109,'ACCESIBILIDAD Y USO'!$D$125)</c:f>
              <c:numCache>
                <c:formatCode>0%</c:formatCode>
                <c:ptCount val="3"/>
                <c:pt idx="0">
                  <c:v>0.22222777777777777</c:v>
                </c:pt>
                <c:pt idx="1">
                  <c:v>0.23472611111111116</c:v>
                </c:pt>
                <c:pt idx="2">
                  <c:v>0.20139444444444443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92-4DDF-8143-E2E56FFBF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0731775"/>
        <c:axId val="1880732255"/>
      </c:radarChart>
      <c:catAx>
        <c:axId val="1880731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80732255"/>
        <c:crosses val="autoZero"/>
        <c:auto val="1"/>
        <c:lblAlgn val="ctr"/>
        <c:lblOffset val="100"/>
        <c:noMultiLvlLbl val="0"/>
      </c:catAx>
      <c:valAx>
        <c:axId val="1880732255"/>
        <c:scaling>
          <c:orientation val="minMax"/>
          <c:min val="2.0000000000000004E-2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880731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_xlchart.v1.6</cx:f>
      </cx:numDim>
    </cx:data>
    <cx:data id="1">
      <cx:numDim type="val">
        <cx:f>_xlchart.v1.4</cx:f>
      </cx:numDim>
    </cx:data>
    <cx:data id="2">
      <cx:numDim type="val">
        <cx:f>_xlchart.v1.5</cx:f>
      </cx:numDim>
    </cx:data>
  </cx:chartData>
  <cx:chart>
    <cx:title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title>
    <cx:plotArea>
      <cx:plotAreaRegion>
        <cx:plotSurface>
          <cx:spPr>
            <a:ln w="12700"/>
          </cx:spPr>
        </cx:plotSurface>
        <cx:series layoutId="boxWhisker" uniqueId="{4AF8DEFA-758D-4432-BEAF-9A27A56AA4EB}" formatIdx="0">
          <cx:tx>
            <cx:txData>
              <cx:f>_xlchart.v1.1</cx:f>
              <cx:v>Departamento Administrativo</cx:v>
            </cx:txData>
          </cx:tx>
          <cx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solidFill>
                <a:schemeClr val="accent1">
                  <a:lumMod val="50000"/>
                </a:schemeClr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x:spPr>
          <cx:dataLabels pos="l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ysClr val="windowText" lastClr="000000"/>
                    </a:solidFill>
                  </a:defRPr>
                </a:pPr>
                <a:endParaRPr lang="es-ES" sz="900" b="1" i="0" u="none" strike="noStrike" baseline="0">
                  <a:solidFill>
                    <a:sysClr val="windowText" lastClr="000000"/>
                  </a:solidFill>
                  <a:latin typeface="Aptos Narrow" panose="02110004020202020204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00000001-73A2-4296-BD78-C07CDC178235}" formatIdx="1">
          <cx:tx>
            <cx:txData>
              <cx:f>_xlchart.v1.0</cx:f>
              <cx:v>Departamento Administrativo</cx:v>
            </cx:txData>
          </cx:tx>
          <cx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solidFill>
                <a:schemeClr val="accent2">
                  <a:lumMod val="50000"/>
                </a:schemeClr>
              </a:solidFill>
              <a:prstDash val="solid"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x:spPr>
          <cx:dataLabels/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0000002-73A2-4296-BD78-C07CDC178235}" formatIdx="2">
          <cx:tx>
            <cx:txData>
              <cx:f>_xlchart.v1.2</cx:f>
              <cx:v>Unidad Administrativa Especial</cx:v>
            </cx:txData>
          </cx:tx>
          <cx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x:spPr>
          <cx:dataLabels/>
          <cx:dataId val="2"/>
          <cx:layoutPr>
            <cx:visibility meanLine="0" meanMarker="1" nonoutliers="0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in="0.20000000000000001"/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  <cx:data id="1">
      <cx:numDim type="val">
        <cx:f>_xlchart.v1.10</cx:f>
      </cx:numDim>
    </cx:data>
  </cx:chartData>
  <cx:chart>
    <cx:plotArea>
      <cx:plotAreaRegion>
        <cx:plotSurface>
          <cx:spPr>
            <a:noFill/>
          </cx:spPr>
        </cx:plotSurface>
        <cx:series layoutId="boxWhisker" uniqueId="{7F3E5838-257E-4D96-A6DC-FF269569F0C6}" formatIdx="0">
          <cx:tx>
            <cx:txData>
              <cx:f>_xlchart.v1.7</cx:f>
              <cx:v>Marco institucional</cx:v>
            </cx:txData>
          </cx:tx>
          <cx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solidFill>
                <a:schemeClr val="tx2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x:spPr>
          <cx:dataLabels pos="t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 i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lang="es-ES" sz="900" b="1" i="0" u="none" strike="noStrike" baseline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x:txPr>
            <cx:visibility seriesName="0" categoryName="0" value="1"/>
            <cx:separator>, </cx:separator>
            <cx:dataLabel idx="8" pos="b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/>
                  </a:pPr>
                  <a:r>
                    <a:rPr lang="es-ES" sz="900" b="0" i="0" u="none" strike="noStrike" baseline="0">
                      <a:solidFill>
                        <a:sysClr val="windowText" lastClr="000000"/>
                      </a:solidFill>
                      <a:latin typeface="Aptos Narrow" panose="02110004020202020204"/>
                    </a:rPr>
                    <a:t>17%</a:t>
                  </a:r>
                </a:p>
              </cx:txPr>
              <cx:separator>, </cx:separator>
            </cx:dataLabel>
            <cx:dataLabel idx="3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s-ES" sz="900" b="0" i="0" u="none" strike="noStrike" baseline="0">
                      <a:solidFill>
                        <a:schemeClr val="bg1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79%</a:t>
                  </a:r>
                </a:p>
              </cx:txPr>
            </cx:dataLabel>
            <cx:dataLabelHidden idx="9"/>
            <cx:dataLabelHidden idx="17"/>
            <cx:dataLabelHidden idx="27"/>
            <cx:dataLabelHidden idx="28"/>
            <cx:dataLabelHidden idx="29"/>
          </cx:dataLabels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0C3DD753-3161-4A74-B9D0-ED8C93496A00}" formatIdx="1">
          <cx:tx>
            <cx:txData>
              <cx:f>_xlchart.v1.9</cx:f>
              <cx:v>Gestión del conocimiento</cx:v>
            </cx:txData>
          </cx:tx>
          <cx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solidFill>
                <a:schemeClr val="accent2">
                  <a:lumMod val="50000"/>
                </a:schemeClr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x:spPr>
          <cx:dataLabels pos="t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lang="es-ES" sz="900" b="1" i="0" u="none" strike="noStrike" baseline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x:txPr>
            <cx:visibility seriesName="0" categoryName="0" value="1"/>
            <cx:separator>, </cx:separator>
            <cx:dataLabel idx="3" pos="b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/>
                  </a:pPr>
                  <a:r>
                    <a:rPr lang="es-ES" sz="900" b="0" i="0" u="none" strike="noStrike" baseline="0">
                      <a:solidFill>
                        <a:sysClr val="windowText" lastClr="000000"/>
                      </a:solidFill>
                      <a:latin typeface="Aptos Narrow" panose="02110004020202020204"/>
                    </a:rPr>
                    <a:t>0%</a:t>
                  </a:r>
                </a:p>
              </cx:txPr>
              <cx:separator>, </cx:separator>
            </cx:dataLabel>
            <cx:dataLabel idx="3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s-ES" sz="900" b="0" i="0" u="none" strike="noStrike" baseline="0">
                      <a:solidFill>
                        <a:schemeClr val="bg1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53%</a:t>
                  </a:r>
                </a:p>
              </cx:txPr>
            </cx:dataLabel>
            <cx:dataLabelHidden idx="27"/>
            <cx:dataLabelHidden idx="28"/>
            <cx:dataLabelHidden idx="29"/>
          </cx:dataLabels>
          <cx:dataId val="1"/>
          <cx:layoutPr>
            <cx:visibility meanLine="1" meanMarker="1" nonoutliers="0" outliers="1"/>
            <cx:statistics quartileMethod="exclusive"/>
          </cx:layoutPr>
        </cx:series>
      </cx:plotAreaRegion>
      <cx:axis id="0" hidden="1">
        <cx:catScaling gapWidth="0.5"/>
        <cx:title>
          <cx:tx>
            <cx:txData>
              <cx:v>Subdimensiones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es-CO" b="1" i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Subdimensiones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s-CO"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  <cx:axis id="1">
        <cx:valScaling max="1.1000000000000001"/>
        <cx:title>
          <cx:tx>
            <cx:txData>
              <cx:v> Metodología Estadístca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rgbClr val="595959"/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es-CO" b="1" i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Metodología Estadístca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ysClr val="windowText" lastClr="000000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s-ES" sz="900" b="0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ysClr val="windowText" lastClr="000000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lang="es-ES" sz="900" b="0" i="0" u="none" strike="noStrike" baseline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x:txPr>
    </cx:legend>
  </cx:chart>
  <cx:spPr>
    <a:ln>
      <a:noFill/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</cx:f>
      </cx:numDim>
    </cx:data>
    <cx:data id="1">
      <cx:numDim type="val">
        <cx:f>_xlchart.v1.14</cx:f>
      </cx:numDim>
    </cx:data>
  </cx:chartData>
  <cx:chart>
    <cx:plotArea>
      <cx:plotAreaRegion>
        <cx:plotSurface>
          <cx:spPr>
            <a:noFill/>
          </cx:spPr>
        </cx:plotSurface>
        <cx:series layoutId="boxWhisker" uniqueId="{7F3E5838-257E-4D96-A6DC-FF269569F0C6}" formatIdx="0">
          <cx:tx>
            <cx:txData>
              <cx:f>_xlchart.v1.11</cx:f>
              <cx:v>Uso de herramientas de gestión y procesamiento de datos</cx:v>
            </cx:txData>
          </cx:tx>
          <cx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solidFill>
                <a:schemeClr val="tx2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x:spPr>
          <cx:dataLabels pos="t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0" i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lang="es-ES" sz="900" b="0" i="0" u="none" strike="noStrike" baseline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x:txPr>
            <cx:visibility seriesName="0" categoryName="0" value="1"/>
            <cx:separator>, </cx:separator>
            <cx:dataLabel idx="11" pos="b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/>
                  </a:pPr>
                  <a:r>
                    <a:rPr lang="es-ES" sz="900" b="0" i="0" u="none" strike="noStrike" baseline="0">
                      <a:solidFill>
                        <a:sysClr val="windowText" lastClr="000000"/>
                      </a:solidFill>
                      <a:latin typeface="Aptos Narrow" panose="02110004020202020204"/>
                    </a:rPr>
                    <a:t>17%</a:t>
                  </a:r>
                </a:p>
              </cx:txPr>
              <cx:separator>, </cx:separator>
            </cx:dataLabel>
            <cx:dataLabel idx="27">
              <cx:visibility seriesName="0" categoryName="0" value="0"/>
              <cx:separator>, </cx:separator>
            </cx:dataLabel>
            <cx:dataLabel idx="30" pos="b">
              <cx:separator>, </cx:separator>
            </cx:dataLabel>
            <cx:dataLabelHidden idx="6"/>
            <cx:dataLabelHidden idx="12"/>
            <cx:dataLabelHidden idx="28"/>
            <cx:dataLabelHidden idx="29"/>
          </cx:dataLabels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0C3DD753-3161-4A74-B9D0-ED8C93496A00}" formatIdx="1">
          <cx:tx>
            <cx:txData>
              <cx:f>_xlchart.v1.13</cx:f>
              <cx:v>Recursos humanos, tecnológicos y financieros</cx:v>
            </cx:txData>
          </cx:tx>
          <cx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solidFill>
                <a:schemeClr val="accent2">
                  <a:lumMod val="50000"/>
                </a:schemeClr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x:spPr>
          <cx:dataLabels pos="t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lang="es-ES" sz="900" b="0" i="0" u="none" strike="noStrike" baseline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x:txPr>
            <cx:visibility seriesName="0" categoryName="0" value="1"/>
            <cx:separator>, </cx:separator>
            <cx:dataLabel idx="7" pos="b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/>
                  </a:pPr>
                  <a:r>
                    <a:rPr lang="es-ES" sz="900" b="0" i="0" u="none" strike="noStrike" baseline="0">
                      <a:solidFill>
                        <a:sysClr val="windowText" lastClr="000000"/>
                      </a:solidFill>
                      <a:latin typeface="Aptos Narrow" panose="02110004020202020204"/>
                    </a:rPr>
                    <a:t>0%</a:t>
                  </a:r>
                </a:p>
              </cx:txPr>
              <cx:separator>, </cx:separator>
            </cx:dataLabel>
            <cx:dataLabel idx="3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s-ES" sz="900" b="0" i="0" u="none" strike="noStrike" baseline="0">
                      <a:solidFill>
                        <a:schemeClr val="bg1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64%</a:t>
                  </a:r>
                </a:p>
              </cx:txPr>
            </cx:dataLabel>
            <cx:dataLabelHidden idx="27"/>
            <cx:dataLabelHidden idx="28"/>
            <cx:dataLabelHidden idx="29"/>
          </cx:dataLabels>
          <cx:dataId val="1"/>
          <cx:layoutPr>
            <cx:visibility meanLine="1" meanMarker="1" nonoutliers="0" outliers="1"/>
            <cx:statistics quartileMethod="exclusive"/>
          </cx:layoutPr>
        </cx:series>
      </cx:plotAreaRegion>
      <cx:axis id="0" hidden="1">
        <cx:catScaling gapWidth="0.5"/>
        <cx:title>
          <cx:tx>
            <cx:txData>
              <cx:v>Subdimensiones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es-CO" b="1" i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Subdimensiones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s-CO"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  <cx:axis id="1">
        <cx:valScaling max="1.1000000000000001"/>
        <cx:title>
          <cx:tx>
            <cx:txData>
              <cx:v> Metodología Estadístca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rgbClr val="595959"/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es-CO" b="1" i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Metodología Estadístca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ysClr val="windowText" lastClr="000000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s-ES" sz="900" b="0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ysClr val="windowText" lastClr="000000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lang="es-ES" sz="900" b="0" i="0" u="none" strike="noStrike" baseline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x:txPr>
    </cx:legend>
  </cx:chart>
  <cx:spPr>
    <a:ln>
      <a:noFill/>
    </a:ln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_xlchart.v1.16</cx:f>
      </cx:numDim>
    </cx:data>
    <cx:data id="1">
      <cx:numDim type="val">
        <cx:f>_xlchart.v1.18</cx:f>
      </cx:numDim>
    </cx:data>
    <cx:data id="2">
      <cx:numDim type="val">
        <cx:f>_xlchart.v1.20</cx:f>
      </cx:numDim>
    </cx:data>
  </cx:chartData>
  <cx:chart>
    <cx:plotArea>
      <cx:plotAreaRegion>
        <cx:plotSurface>
          <cx:spPr>
            <a:noFill/>
          </cx:spPr>
        </cx:plotSurface>
        <cx:series layoutId="boxWhisker" uniqueId="{7F3E5838-257E-4D96-A6DC-FF269569F0C6}">
          <cx:tx>
            <cx:txData>
              <cx:f>_xlchart.v1.15</cx:f>
              <cx:v>Operaciones estadísticas</cx:v>
            </cx:txData>
          </cx:tx>
          <cx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solidFill>
                <a:schemeClr val="tx2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x:spPr>
          <cx:dataLabels pos="t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ysClr val="windowText" lastClr="000000"/>
                    </a:solidFill>
                  </a:defRPr>
                </a:pPr>
                <a:endParaRPr lang="es-MX" sz="900" b="1" i="0" u="none" strike="noStrike" baseline="0">
                  <a:solidFill>
                    <a:sysClr val="windowText" lastClr="000000"/>
                  </a:solidFill>
                  <a:latin typeface="Aptos Narrow" panose="02110004020202020204"/>
                </a:endParaRPr>
              </a:p>
            </cx:txPr>
            <cx:visibility seriesName="0" categoryName="0" value="1"/>
            <cx:separator>, </cx:separator>
            <cx:dataLabel idx="27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/>
                  </a:pPr>
                  <a:endParaRPr lang="es-MX" sz="900" b="1" i="0" u="none" strike="noStrike" baseline="0">
                    <a:solidFill>
                      <a:sysClr val="windowText" lastClr="000000"/>
                    </a:solidFill>
                    <a:latin typeface="Aptos Narrow" panose="02110004020202020204"/>
                  </a:endParaRPr>
                </a:p>
              </cx:txPr>
              <cx:visibility seriesName="0" categoryName="0" value="0"/>
              <cx:separator>, </cx:separator>
            </cx:dataLabel>
            <cx:dataLabel idx="28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/>
                  </a:pPr>
                  <a:endParaRPr lang="es-MX" sz="900" b="1" i="0" u="none" strike="noStrike" baseline="0">
                    <a:solidFill>
                      <a:sysClr val="windowText" lastClr="000000"/>
                    </a:solidFill>
                    <a:latin typeface="Aptos Narrow" panose="02110004020202020204"/>
                  </a:endParaRPr>
                </a:p>
              </cx:txPr>
              <cx:visibility seriesName="0" categoryName="0" value="0"/>
              <cx:separator>, </cx:separator>
            </cx:dataLabel>
            <cx:dataLabel idx="29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/>
                  </a:pPr>
                  <a:endParaRPr lang="es-MX" sz="900" b="1" i="0" u="none" strike="noStrike" baseline="0">
                    <a:solidFill>
                      <a:sysClr val="windowText" lastClr="000000"/>
                    </a:solidFill>
                    <a:latin typeface="Aptos Narrow" panose="02110004020202020204"/>
                  </a:endParaRPr>
                </a:p>
              </cx:txPr>
              <cx:visibility seriesName="0" categoryName="0" value="0"/>
              <cx:separator>, </cx:separator>
            </cx:dataLabel>
            <cx:dataLabel idx="3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s-MX" sz="900" b="1" i="0" u="none" strike="noStrike" baseline="0">
                      <a:solidFill>
                        <a:schemeClr val="bg1"/>
                      </a:solidFill>
                      <a:latin typeface="Aptos Narrow" panose="02110004020202020204"/>
                    </a:rPr>
                    <a:t>41%</a:t>
                  </a:r>
                </a:p>
              </cx:txPr>
            </cx:dataLabel>
          </cx:dataLabels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0C3DD753-3161-4A74-B9D0-ED8C93496A00}">
          <cx:tx>
            <cx:txData>
              <cx:f>_xlchart.v1.17</cx:f>
              <cx:v>Indicadores</cx:v>
            </cx:txData>
          </cx:tx>
          <cx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solidFill>
                <a:schemeClr val="accent2">
                  <a:lumMod val="50000"/>
                </a:schemeClr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x:spPr>
          <cx:dataLabels pos="t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lang="es-ES" sz="900" b="1" i="0" u="none" strike="noStrike" baseline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x:txPr>
            <cx:visibility seriesName="0" categoryName="0" value="1"/>
            <cx:separator>, </cx:separator>
            <cx:dataLabel idx="1" pos="b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/>
                  </a:pPr>
                  <a:r>
                    <a:rPr lang="es-ES" sz="900" b="0" i="0" u="none" strike="noStrike" baseline="0">
                      <a:solidFill>
                        <a:sysClr val="windowText" lastClr="000000"/>
                      </a:solidFill>
                      <a:latin typeface="Aptos Narrow" panose="02110004020202020204"/>
                    </a:rPr>
                    <a:t>0%</a:t>
                  </a:r>
                </a:p>
              </cx:txPr>
              <cx:separator>, </cx:separator>
            </cx:dataLabel>
            <cx:dataLabel idx="3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s-ES" sz="900" b="0" i="0" u="none" strike="noStrike" baseline="0">
                      <a:solidFill>
                        <a:schemeClr val="bg1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67%</a:t>
                  </a:r>
                </a:p>
              </cx:txPr>
            </cx:dataLabel>
            <cx:dataLabelHidden idx="27"/>
            <cx:dataLabelHidden idx="28"/>
            <cx:dataLabelHidden idx="29"/>
          </cx:dataLabels>
          <cx:dataId val="1"/>
          <cx:layoutPr>
            <cx:visibility meanLine="1" meanMarker="1" nonoutliers="0" outliers="1"/>
            <cx:statistics quartileMethod="exclusive"/>
          </cx:layoutPr>
        </cx:series>
        <cx:series layoutId="boxWhisker" uniqueId="{2CB71594-E4B9-4CCA-A912-8AD9FBC342C5}">
          <cx:tx>
            <cx:txData>
              <cx:f>_xlchart.v1.19</cx:f>
              <cx:v>Analítica de datos</cx:v>
            </cx:txData>
          </cx:tx>
          <cx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solidFill>
                <a:schemeClr val="accent3">
                  <a:lumMod val="50000"/>
                </a:schemeClr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x:spPr>
          <cx:dataLabels pos="t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lang="es-ES" sz="900" b="1" i="0" u="none" strike="noStrike" baseline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x:txPr>
            <cx:visibility seriesName="0" categoryName="0" value="1"/>
            <cx:separator>, </cx:separator>
            <cx:dataLabel idx="27" pos="b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/>
                  </a:pPr>
                  <a:endParaRPr lang="es-ES" sz="900" b="0" i="0" u="none" strike="noStrike" baseline="0">
                    <a:solidFill>
                      <a:sysClr val="windowText" lastClr="000000"/>
                    </a:solidFill>
                    <a:latin typeface="Aptos Narrow" panose="02110004020202020204"/>
                  </a:endParaRPr>
                </a:p>
              </cx:txPr>
              <cx:visibility seriesName="0" categoryName="0" value="0"/>
              <cx:separator>, </cx:separator>
            </cx:dataLabel>
            <cx:dataLabel idx="28">
              <cx:visibility seriesName="0" categoryName="0" value="0"/>
              <cx:separator>, </cx:separator>
            </cx:dataLabel>
            <cx:dataLabel idx="3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s-ES" sz="900" b="0" i="0" u="none" strike="noStrike" baseline="0">
                      <a:solidFill>
                        <a:schemeClr val="bg1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64%</a:t>
                  </a:r>
                </a:p>
              </cx:txPr>
            </cx:dataLabel>
            <cx:dataLabelHidden idx="11"/>
            <cx:dataLabelHidden idx="29"/>
          </cx:dataLabels>
          <cx:dataId val="2"/>
          <cx:layoutPr>
            <cx:visibility meanLine="1" meanMarker="1" nonoutliers="0" outliers="1"/>
            <cx:statistics quartileMethod="exclusive"/>
          </cx:layoutPr>
        </cx:series>
      </cx:plotAreaRegion>
      <cx:axis id="0" hidden="1">
        <cx:catScaling gapWidth="0.5"/>
        <cx:title>
          <cx:tx>
            <cx:txData>
              <cx:v>Subdimensiones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es-CO" b="1" i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Subdimensiones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s-CO"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  <cx:axis id="1">
        <cx:valScaling max="1.1000000000000001"/>
        <cx:title>
          <cx:tx>
            <cx:txData>
              <cx:v> Metodología Estadístca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rgbClr val="595959"/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es-CO" b="1" i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Metodología Estadístca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ysClr val="windowText" lastClr="000000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s-ES" sz="900" b="0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ysClr val="windowText" lastClr="000000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lang="es-ES" sz="900" b="0" i="0" u="none" strike="noStrike" baseline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x:txPr>
    </cx:legend>
  </cx:chart>
  <cx:spPr>
    <a:ln>
      <a:noFill/>
    </a:ln>
  </cx:spPr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_xlchart.v1.22</cx:f>
      </cx:numDim>
    </cx:data>
    <cx:data id="1">
      <cx:numDim type="val">
        <cx:f>_xlchart.v1.24</cx:f>
      </cx:numDim>
    </cx:data>
  </cx:chartData>
  <cx:chart>
    <cx:plotArea>
      <cx:plotAreaRegion>
        <cx:series layoutId="boxWhisker" uniqueId="{3D03A63D-F197-4681-8367-93E9B2A480FC}">
          <cx:tx>
            <cx:txData>
              <cx:f>_xlchart.v1.21</cx:f>
              <cx:v>Disponibilidad y uso</cx:v>
            </cx:txData>
          </cx:tx>
          <cx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solidFill>
                <a:schemeClr val="tx2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x:spPr>
          <cx:dataLabels pos="t"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solidFill>
                      <a:sysClr val="windowText" lastClr="000000"/>
                    </a:solidFill>
                    <a:latin typeface="Aptos Narrow" panose="020B0004020202020204" pitchFamily="34" charset="0"/>
                    <a:ea typeface="Aptos Narrow" panose="020B0004020202020204" pitchFamily="34" charset="0"/>
                    <a:cs typeface="Aptos Narrow" panose="020B0004020202020204" pitchFamily="34" charset="0"/>
                  </a:defRPr>
                </a:pPr>
                <a:endParaRPr lang="es-CO">
                  <a:solidFill>
                    <a:sysClr val="windowText" lastClr="000000"/>
                  </a:solidFill>
                </a:endParaRPr>
              </a:p>
            </cx:txPr>
            <cx:visibility seriesName="0" categoryName="0" value="1"/>
            <cx:separator>, </cx:separator>
            <cx:dataLabel idx="4" pos="b">
              <cx:visibility seriesName="0" categoryName="0" value="1"/>
              <cx:separator>, </cx:separator>
            </cx:dataLabel>
            <cx:dataLabel idx="8" pos="t">
              <cx:visibility seriesName="0" categoryName="0" value="1"/>
              <cx:separator>, </cx:separator>
            </cx:dataLabel>
            <cx:dataLabel idx="3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s-ES" sz="900" b="0" i="0" u="none" strike="noStrike" baseline="0">
                      <a:solidFill>
                        <a:schemeClr val="bg1"/>
                      </a:solidFill>
                      <a:latin typeface="Aptos Narrow" panose="02110004020202020204"/>
                    </a:rPr>
                    <a:t>55%</a:t>
                  </a:r>
                </a:p>
              </cx:txPr>
              <cx:visibility seriesName="0" categoryName="0" value="1"/>
              <cx:separator>, </cx:separator>
            </cx:dataLabel>
            <cx:dataLabelHidden idx="27"/>
            <cx:dataLabelHidden idx="28"/>
            <cx:dataLabelHidden idx="29"/>
          </cx:dataLabels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62EF9F35-FE04-4933-A48A-1346D5F5700B}">
          <cx:tx>
            <cx:txData>
              <cx:f>_xlchart.v1.23</cx:f>
              <cx:v>Accesibilidad</cx:v>
            </cx:txData>
          </cx:tx>
          <cx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solidFill>
                <a:schemeClr val="accent2">
                  <a:lumMod val="50000"/>
                </a:schemeClr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x:spPr>
          <cx:dataLabels pos="t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ysClr val="windowText" lastClr="000000"/>
                    </a:solidFill>
                  </a:defRPr>
                </a:pPr>
                <a:endParaRPr lang="es-ES" sz="900" b="0" i="0" u="none" strike="noStrike" baseline="0">
                  <a:solidFill>
                    <a:sysClr val="windowText" lastClr="000000"/>
                  </a:solidFill>
                  <a:latin typeface="Aptos Narrow" panose="02110004020202020204"/>
                </a:endParaRPr>
              </a:p>
            </cx:txPr>
            <cx:visibility seriesName="0" categoryName="0" value="1"/>
            <cx:separator>, </cx:separator>
            <cx:dataLabel idx="27">
              <cx:visibility seriesName="0" categoryName="0" value="0"/>
              <cx:separator>, </cx:separator>
            </cx:dataLabel>
            <cx:dataLabel idx="28">
              <cx:visibility seriesName="0" categoryName="0" value="0"/>
              <cx:separator>, </cx:separator>
            </cx:dataLabel>
            <cx:dataLabel idx="29">
              <cx:visibility seriesName="0" categoryName="0" value="0"/>
              <cx:separator>, </cx:separator>
            </cx:dataLabel>
            <cx:dataLabelHidden idx="25"/>
            <cx:dataLabelHidden idx="30"/>
          </cx:dataLabels>
          <cx:dataId val="1"/>
          <cx:layoutPr>
            <cx:visibility meanLine="1" meanMarker="1" nonoutliers="0" outliers="1"/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Subdimensiones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1" i="1" u="none" strike="noStrike" baseline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Subdimensiones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ysClr val="windowText" lastClr="000000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s-CO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  <cx:axis id="1">
        <cx:valScaling max="1.2"/>
        <cx:title>
          <cx:tx>
            <cx:txData>
              <cx:v>Accesibilidad y Uso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es-ES" sz="900" b="1" i="1" u="none" strike="noStrike" baseline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Accesibilidad y Uso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ysClr val="windowText" lastClr="000000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s-CO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  <cx:legend pos="b" align="ctr" overlay="0">
      <cx:txPr>
        <a:bodyPr vertOverflow="overflow" horzOverflow="overflow" wrap="square" lIns="0" tIns="0" rIns="0" bIns="0"/>
        <a:lstStyle/>
        <a:p>
          <a:pPr algn="ctr" rtl="0">
            <a:defRPr sz="900" b="0" i="0">
              <a:solidFill>
                <a:sysClr val="windowText" lastClr="000000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lang="es-CO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x:txPr>
    </cx:legend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microsoft.com/office/2014/relationships/chartEx" Target="../charts/chartEx4.xml"/><Relationship Id="rId4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microsoft.com/office/2014/relationships/chartEx" Target="../charts/chartEx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409575</xdr:colOff>
      <xdr:row>55</xdr:row>
      <xdr:rowOff>49530</xdr:rowOff>
    </xdr:from>
    <xdr:to>
      <xdr:col>6</xdr:col>
      <xdr:colOff>1592580</xdr:colOff>
      <xdr:row>74</xdr:row>
      <xdr:rowOff>139065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AA62CAB-CCBB-0572-AA6D-C40B777DF8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8</xdr:row>
      <xdr:rowOff>4761</xdr:rowOff>
    </xdr:from>
    <xdr:to>
      <xdr:col>5</xdr:col>
      <xdr:colOff>590550</xdr:colOff>
      <xdr:row>24</xdr:row>
      <xdr:rowOff>104774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FAE08CA-CFFB-2805-4EB1-811E7FC41D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841001</xdr:colOff>
      <xdr:row>7</xdr:row>
      <xdr:rowOff>114579</xdr:rowOff>
    </xdr:from>
    <xdr:to>
      <xdr:col>8</xdr:col>
      <xdr:colOff>1280136</xdr:colOff>
      <xdr:row>24</xdr:row>
      <xdr:rowOff>43142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0B34E56-30EB-AD2A-8FC2-9DBB52EE6D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187336</xdr:colOff>
      <xdr:row>25</xdr:row>
      <xdr:rowOff>183172</xdr:rowOff>
    </xdr:from>
    <xdr:to>
      <xdr:col>6</xdr:col>
      <xdr:colOff>779318</xdr:colOff>
      <xdr:row>46</xdr:row>
      <xdr:rowOff>151534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B40D89E1-1443-4AEF-BA90-E28624754D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2836" y="4945672"/>
              <a:ext cx="10866282" cy="39688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5</xdr:col>
      <xdr:colOff>296956</xdr:colOff>
      <xdr:row>76</xdr:row>
      <xdr:rowOff>57149</xdr:rowOff>
    </xdr:from>
    <xdr:to>
      <xdr:col>8</xdr:col>
      <xdr:colOff>627528</xdr:colOff>
      <xdr:row>93</xdr:row>
      <xdr:rowOff>134471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1C3FB6A-EA56-6734-6132-2AD29B0F1C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375397</xdr:colOff>
      <xdr:row>75</xdr:row>
      <xdr:rowOff>90767</xdr:rowOff>
    </xdr:from>
    <xdr:to>
      <xdr:col>5</xdr:col>
      <xdr:colOff>2011456</xdr:colOff>
      <xdr:row>89</xdr:row>
      <xdr:rowOff>166967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7A3174C-458B-A52D-709A-F659CF1B1C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544287</xdr:colOff>
      <xdr:row>140</xdr:row>
      <xdr:rowOff>142875</xdr:rowOff>
    </xdr:from>
    <xdr:to>
      <xdr:col>12</xdr:col>
      <xdr:colOff>616405</xdr:colOff>
      <xdr:row>160</xdr:row>
      <xdr:rowOff>7327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F87043E5-8C58-448C-9F78-70E1636319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37287" y="24247475"/>
              <a:ext cx="6955518" cy="367445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</xdr:col>
      <xdr:colOff>86506</xdr:colOff>
      <xdr:row>67</xdr:row>
      <xdr:rowOff>113898</xdr:rowOff>
    </xdr:from>
    <xdr:to>
      <xdr:col>8</xdr:col>
      <xdr:colOff>86506</xdr:colOff>
      <xdr:row>83</xdr:row>
      <xdr:rowOff>36407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A0DB0D1-2CA8-4C5A-8474-64B3AF5711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60417</xdr:colOff>
      <xdr:row>3</xdr:row>
      <xdr:rowOff>184657</xdr:rowOff>
    </xdr:from>
    <xdr:to>
      <xdr:col>8</xdr:col>
      <xdr:colOff>495542</xdr:colOff>
      <xdr:row>22</xdr:row>
      <xdr:rowOff>21692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4F8A2EF-EEE7-49B8-94BC-BDDC462393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47624</xdr:colOff>
      <xdr:row>141</xdr:row>
      <xdr:rowOff>6804</xdr:rowOff>
    </xdr:from>
    <xdr:to>
      <xdr:col>13</xdr:col>
      <xdr:colOff>114299</xdr:colOff>
      <xdr:row>160</xdr:row>
      <xdr:rowOff>61756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1B53BECE-9EED-4D76-BDA5-FF966AE5A6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50124" y="24835304"/>
              <a:ext cx="7813675" cy="367445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</xdr:col>
      <xdr:colOff>86506</xdr:colOff>
      <xdr:row>67</xdr:row>
      <xdr:rowOff>113898</xdr:rowOff>
    </xdr:from>
    <xdr:to>
      <xdr:col>8</xdr:col>
      <xdr:colOff>86506</xdr:colOff>
      <xdr:row>83</xdr:row>
      <xdr:rowOff>36407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739867F-0E46-40AE-A851-C6F78C2B5B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45449</xdr:colOff>
      <xdr:row>8</xdr:row>
      <xdr:rowOff>156082</xdr:rowOff>
    </xdr:from>
    <xdr:to>
      <xdr:col>8</xdr:col>
      <xdr:colOff>477853</xdr:colOff>
      <xdr:row>28</xdr:row>
      <xdr:rowOff>1281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6B6D538-A09C-4FAF-9719-EE2340C119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595992</xdr:colOff>
      <xdr:row>102</xdr:row>
      <xdr:rowOff>57150</xdr:rowOff>
    </xdr:from>
    <xdr:to>
      <xdr:col>12</xdr:col>
      <xdr:colOff>736146</xdr:colOff>
      <xdr:row>123</xdr:row>
      <xdr:rowOff>98495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8CE10BED-9CB5-57ED-B665-A03B2899A2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98492" y="17608550"/>
              <a:ext cx="7023554" cy="37116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</xdr:col>
      <xdr:colOff>500163</xdr:colOff>
      <xdr:row>52</xdr:row>
      <xdr:rowOff>10483</xdr:rowOff>
    </xdr:from>
    <xdr:to>
      <xdr:col>7</xdr:col>
      <xdr:colOff>391306</xdr:colOff>
      <xdr:row>68</xdr:row>
      <xdr:rowOff>109886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F947484-4218-9626-3F32-163E6385DA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45449</xdr:colOff>
      <xdr:row>8</xdr:row>
      <xdr:rowOff>156082</xdr:rowOff>
    </xdr:from>
    <xdr:to>
      <xdr:col>8</xdr:col>
      <xdr:colOff>477853</xdr:colOff>
      <xdr:row>28</xdr:row>
      <xdr:rowOff>1281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6CF36F6-022A-4404-3D85-633F6006BE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519174</xdr:colOff>
      <xdr:row>77</xdr:row>
      <xdr:rowOff>89432</xdr:rowOff>
    </xdr:from>
    <xdr:to>
      <xdr:col>8</xdr:col>
      <xdr:colOff>80196</xdr:colOff>
      <xdr:row>94</xdr:row>
      <xdr:rowOff>36450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81D115D-0D5D-5159-9A5A-A75EFB0A7A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409573</xdr:colOff>
      <xdr:row>38</xdr:row>
      <xdr:rowOff>161925</xdr:rowOff>
    </xdr:from>
    <xdr:to>
      <xdr:col>12</xdr:col>
      <xdr:colOff>400050</xdr:colOff>
      <xdr:row>56</xdr:row>
      <xdr:rowOff>61912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BDB39C73-68E7-B07D-C98C-0DFF800098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65873" y="7680325"/>
              <a:ext cx="6594477" cy="33289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4</xdr:col>
      <xdr:colOff>271008</xdr:colOff>
      <xdr:row>64</xdr:row>
      <xdr:rowOff>122464</xdr:rowOff>
    </xdr:from>
    <xdr:to>
      <xdr:col>10</xdr:col>
      <xdr:colOff>271008</xdr:colOff>
      <xdr:row>79</xdr:row>
      <xdr:rowOff>8164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537B669-9454-A4C0-4583-D914308A69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61912</xdr:colOff>
      <xdr:row>110</xdr:row>
      <xdr:rowOff>101372</xdr:rowOff>
    </xdr:from>
    <xdr:to>
      <xdr:col>10</xdr:col>
      <xdr:colOff>61912</xdr:colOff>
      <xdr:row>124</xdr:row>
      <xdr:rowOff>177572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371CE99-E83A-F6F0-5F60-E24C7D4E1D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637.597255555556" createdVersion="8" refreshedVersion="8" minRefreshableVersion="3" recordCount="28" xr:uid="{1D331CDD-EF54-4090-AD55-A5742910C54D}">
  <cacheSource type="worksheet">
    <worksheetSource ref="A1:AZ1048576" sheet="DATA24"/>
  </cacheSource>
  <cacheFields count="52">
    <cacheField name="N" numFmtId="0">
      <sharedItems containsString="0" containsBlank="1" containsNumber="1" containsInteger="1" minValue="1" maxValue="27"/>
    </cacheField>
    <cacheField name="Organismo" numFmtId="0">
      <sharedItems containsBlank="1" count="28">
        <s v="Departamento Administrativo de Planeación Municipal"/>
        <s v="Secretaria de Salud Pública"/>
        <s v="Secretaría de Desarrollo Económico"/>
        <s v="Secretaría de Movilidad"/>
        <s v="Secretaría del Deporte y la Recreación"/>
        <s v="Secretaría de Turismo"/>
        <s v="Departamento Administrativo de Contratación Pública"/>
        <s v="Secretaría de Paz y Cultura Ciudadana"/>
        <s v="Secretaria de Educación"/>
        <s v="Departamento Administrativo de Hacienda Municipal"/>
        <s v="Secretaria de Bienestar Social"/>
        <s v="Departamento Administrativo Tecnologías de la Información y las Comunicaciones"/>
        <s v="Secretaria de Seguridad y Justicia"/>
        <s v="Secretaría de Vivienda Social y Hábitat"/>
        <s v="Secretaría de Infraestructura"/>
        <s v="Departamento Administrativo de Gestión Jurídica Pública"/>
        <s v="Departamento Administrativo de Control Disciplinario Interno"/>
        <s v="Departamento Administrativo de Desarrollo E Innovación Institucional"/>
        <s v="Departamento Administrativo de la Gestión del Medio Ambiente"/>
        <s v="Secretaria de Gestión del Riesgo y de Emergencias y Desastres"/>
        <s v="Unidad Administrativa Especial de Bienes y Servicios"/>
        <s v="Secretaría de Desarrollo Territorial y Participación Ciudadana"/>
        <s v="Secretaría de Cultura"/>
        <s v="Unidad Administrativa Especial de Protección Animal"/>
        <s v="Unidad Administrativa Especial de Servicios Públicos"/>
        <s v="Secretaría de Gobierno"/>
        <s v="Departamento Administrativo de Control Interno"/>
        <m/>
      </sharedItems>
    </cacheField>
    <cacheField name="Nivel organismo" numFmtId="0">
      <sharedItems containsBlank="1" count="4">
        <s v="Departamento Administrativo"/>
        <s v="Secretaría"/>
        <s v="Unidad Administrativa Especial"/>
        <m/>
      </sharedItems>
    </cacheField>
    <cacheField name="Índice de Capacidad Estadística Organismo" numFmtId="0">
      <sharedItems containsString="0" containsBlank="1" containsNumber="1" minValue="0.43055555555555552" maxValue="0.84911908796296287"/>
    </cacheField>
    <cacheField name="1. Entorno Institucional" numFmtId="0">
      <sharedItems containsString="0" containsBlank="1" containsNumber="1" minValue="0.45833333333333331" maxValue="1"/>
    </cacheField>
    <cacheField name="2. Infraestructura" numFmtId="0">
      <sharedItems containsString="0" containsBlank="1" containsNumber="1" minValue="0.36458333333333331" maxValue="0.9375"/>
    </cacheField>
    <cacheField name="3. Metodología Estadística" numFmtId="0">
      <sharedItems containsString="0" containsBlank="1" containsNumber="1" minValue="0.33333333333333331" maxValue="0.92592592592592582" count="22">
        <n v="0.78189301851851845"/>
        <n v="0.53542673107890493"/>
        <n v="0.92592592592592582"/>
        <n v="0.75"/>
        <n v="0.49666666666666659"/>
        <n v="0.88888888888888873"/>
        <n v="0.68518518518518512"/>
        <n v="0.63888888888888884"/>
        <n v="0.55555555555555558"/>
        <n v="0.60925927777777777"/>
        <n v="0.66666666666666663"/>
        <n v="0.58333333333333326"/>
        <n v="0.69629627777777769"/>
        <n v="0.61111111111111105"/>
        <n v="0.54629629629629628"/>
        <n v="0.38888888888888884"/>
        <n v="0.52057611111111102"/>
        <n v="0.7222222222222221"/>
        <n v="0.46296296296296291"/>
        <n v="0.5"/>
        <n v="0.33333333333333331"/>
        <m/>
      </sharedItems>
    </cacheField>
    <cacheField name="4. Accesibilidad y uso" numFmtId="0">
      <sharedItems containsString="0" containsBlank="1" containsNumber="1" minValue="0.20833333333333331" maxValue="0.75"/>
    </cacheField>
    <cacheField name="1.1. Marco institucional" numFmtId="0">
      <sharedItems containsString="0" containsBlank="1" containsNumber="1" minValue="0.5625" maxValue="1"/>
    </cacheField>
    <cacheField name="1.2.Gestión del conocimiento" numFmtId="0">
      <sharedItems containsString="0" containsBlank="1" containsNumber="1" minValue="0.16666666666666666" maxValue="1"/>
    </cacheField>
    <cacheField name="2.1. Uso de herramientas de gestión y procesamiento de datos" numFmtId="0">
      <sharedItems containsString="0" containsBlank="1" containsNumber="1" minValue="0.33333333333333331" maxValue="1"/>
    </cacheField>
    <cacheField name="2.2. Recursos humanos, tecnológicos y financieros" numFmtId="0">
      <sharedItems containsString="0" containsBlank="1" containsNumber="1" minValue="0.39583333333333331" maxValue="0.87499999999999989"/>
    </cacheField>
    <cacheField name="3.1. Operaciones estadísticas" numFmtId="0">
      <sharedItems containsString="0" containsBlank="1" containsNumber="1" minValue="0.16666666666666666" maxValue="0.99999999999999989" count="13">
        <n v="0.51234572222222219"/>
        <n v="0.43961352657004826"/>
        <n v="0.94444444444444431"/>
        <n v="0.5"/>
        <n v="0.90666666666666651"/>
        <n v="0.99999999999999989"/>
        <n v="0.55555555555555547"/>
        <n v="0.33333333333333331"/>
        <n v="0.41111116666666669"/>
        <n v="0.16666666666666666"/>
        <n v="0.42222216666666668"/>
        <n v="0.39506166666666664"/>
        <m/>
      </sharedItems>
    </cacheField>
    <cacheField name="3.2. Indicadores" numFmtId="0">
      <sharedItems containsString="0" containsBlank="1" containsNumber="1" minValue="0" maxValue="1" count="5">
        <n v="1"/>
        <n v="0.33333333333333331"/>
        <n v="0"/>
        <n v="0.66666666666666663"/>
        <m/>
      </sharedItems>
    </cacheField>
    <cacheField name="3.3. Analítica de datos" numFmtId="0">
      <sharedItems containsString="0" containsBlank="1" containsNumber="1" minValue="0.5" maxValue="0.83333333333333326" count="6">
        <n v="0.83333333333333326"/>
        <n v="0.75"/>
        <n v="0.58333333333333337"/>
        <n v="0.66666666666666663"/>
        <n v="0.5"/>
        <m/>
      </sharedItems>
    </cacheField>
    <cacheField name="4.1. Disponibilidad y uso" numFmtId="0">
      <sharedItems containsString="0" containsBlank="1" containsNumber="1" minValue="0.3611111111111111" maxValue="1"/>
    </cacheField>
    <cacheField name="4.2. Accesibilidad" numFmtId="0">
      <sharedItems containsString="0" containsBlank="1" containsNumber="1" minValue="0" maxValue="0.5"/>
    </cacheField>
    <cacheField name="1.1.1. Funciones relacionadas" numFmtId="0">
      <sharedItems containsString="0" containsBlank="1" containsNumber="1" containsInteger="1" minValue="1" maxValue="1"/>
    </cacheField>
    <cacheField name="1.1.2. Procedimientos relacionados" numFmtId="0">
      <sharedItems containsString="0" containsBlank="1" containsNumber="1" minValue="0.25" maxValue="1"/>
    </cacheField>
    <cacheField name="1.1.3. Herramientas de planificación procesamiento" numFmtId="0">
      <sharedItems containsString="0" containsBlank="1" containsNumber="1" minValue="0.25" maxValue="1"/>
    </cacheField>
    <cacheField name="1.1.4. Herramientas de planificación mejoramiento " numFmtId="0">
      <sharedItems containsString="0" containsBlank="1" containsNumber="1" minValue="0" maxValue="1"/>
    </cacheField>
    <cacheField name="1.2.1 Fortalecimiento de competencias estadísticas" numFmtId="0">
      <sharedItems containsString="0" containsBlank="1" containsNumber="1" minValue="0" maxValue="1"/>
    </cacheField>
    <cacheField name="1.2.2. Participación en instancias de coordinación interinstitucional" numFmtId="0">
      <sharedItems containsString="0" containsBlank="1" containsNumber="1" minValue="0" maxValue="1"/>
    </cacheField>
    <cacheField name="1.2.3 Trazabilidad y continuidad en los procesos estadísticos" numFmtId="0">
      <sharedItems containsString="0" containsBlank="1" containsNumber="1" minValue="0" maxValue="1"/>
    </cacheField>
    <cacheField name="2.1.1. Herramientas de procesamiento de datos" numFmtId="0">
      <sharedItems containsString="0" containsBlank="1" containsNumber="1" containsInteger="1" minValue="1" maxValue="1"/>
    </cacheField>
    <cacheField name="2.1.2. Uso de gestores de bases de datos en la entidad territorial para operaciones estadísticas, registros administrativos e indicadores" numFmtId="0">
      <sharedItems containsString="0" containsBlank="1" containsNumber="1" containsInteger="1" minValue="0" maxValue="1"/>
    </cacheField>
    <cacheField name="2.1.3. Uso de herramientas de visualización y/o monitoreo de datos" numFmtId="0">
      <sharedItems containsString="0" containsBlank="1" containsNumber="1" containsInteger="1" minValue="0" maxValue="1"/>
    </cacheField>
    <cacheField name="2.2.1. Percepción suficiencia herramientas de procesamiento y visualización" numFmtId="0">
      <sharedItems containsString="0" containsBlank="1" containsNumber="1" minValue="0.25" maxValue="1"/>
    </cacheField>
    <cacheField name="2.2.2. Existencia de una persona, grupo o grupos internos de trabajo para la generación, procesamiento, análisis y difusión de información estadística" numFmtId="0">
      <sharedItems containsString="0" containsBlank="1" containsNumber="1" containsInteger="1" minValue="1" maxValue="1"/>
    </cacheField>
    <cacheField name="2.2.3. Recurso humano disponible en cada etapa del proceso estadístico" numFmtId="0">
      <sharedItems containsString="0" containsBlank="1" containsNumber="1" minValue="0.125" maxValue="1"/>
    </cacheField>
    <cacheField name="2.2.4. Percepción suficiencia del recurso humano para la generación, procesamiento, análisis y difusión de información estadística" numFmtId="0">
      <sharedItems containsString="0" containsBlank="1" containsNumber="1" minValue="0.25" maxValue="0.75"/>
    </cacheField>
    <cacheField name="2.2.5. Recursos destinados de Hardware, Software y de personas para la generación, procesamiento, análisis y difusión de información estadística" numFmtId="0">
      <sharedItems containsString="0" containsBlank="1" containsNumber="1" minValue="0" maxValue="1"/>
    </cacheField>
    <cacheField name="2.2.6. Percepción suficiencia en la asignación de recursos financieros para la generación, procesamiento, análisis y difusión de información estadística" numFmtId="0">
      <sharedItems containsString="0" containsBlank="1" containsNumber="1" minValue="0" maxValue="0.75"/>
    </cacheField>
    <cacheField name="3.1.1. Existencia de documentos metodológicos de las operaciones estadísticas" numFmtId="0">
      <sharedItems containsString="0" containsBlank="1" containsNumber="1" minValue="0" maxValue="1"/>
    </cacheField>
    <cacheField name="3.1.2. Existencia de fichas metodológicas de las operaciones estadísticas" numFmtId="0">
      <sharedItems containsString="0" containsBlank="1" containsNumber="1" minValue="0" maxValue="1"/>
    </cacheField>
    <cacheField name="3.1.3. Existencia de manuales operativos, diccionario de datos y documentos de consistencia y validación de las operaciones estadísticas" numFmtId="0">
      <sharedItems containsString="0" containsBlank="1" containsNumber="1" minValue="0" maxValue="1"/>
    </cacheField>
    <cacheField name="3.1.4. Implementación de acciones de fortalecimiento, calidad y mejoramiento de las operaciones estadísticas" numFmtId="0">
      <sharedItems containsString="0" containsBlank="1" containsNumber="1" minValue="0" maxValue="1"/>
    </cacheField>
    <cacheField name="3.1.5. Uso de Lineamientos, normas y estándares para producción de estadísticas implementadas en el organismo" numFmtId="0">
      <sharedItems containsString="0" containsBlank="1" containsNumber="1" containsInteger="1" minValue="0" maxValue="1"/>
    </cacheField>
    <cacheField name="3.1.6. Mecanimos para detección de necesidades misionales o estadísticas" numFmtId="0">
      <sharedItems containsString="0" containsBlank="1" containsNumber="1" containsInteger="1" minValue="0" maxValue="1"/>
    </cacheField>
    <cacheField name="3.2.1. Proceso de análisis de indicadores de resultado liderados por el organismo" numFmtId="0">
      <sharedItems containsString="0" containsBlank="1" containsNumber="1" containsInteger="1" minValue="0" maxValue="1"/>
    </cacheField>
    <cacheField name="3.2.2. Articulación entre organismos para el seguimiento de indicadores de producto" numFmtId="0">
      <sharedItems containsString="0" containsBlank="1" containsNumber="1" containsInteger="1" minValue="0" maxValue="1"/>
    </cacheField>
    <cacheField name="3.2.3. Articulación entre organismos líderes de indicadores de producto y líderes indicadores de resultado" numFmtId="0">
      <sharedItems containsString="0" containsBlank="1" containsNumber="1" containsInteger="1" minValue="0" maxValue="1"/>
    </cacheField>
    <cacheField name="3.3.1. Implementación de lineamientos metodológicos" numFmtId="0">
      <sharedItems containsString="0" containsBlank="1" containsNumber="1" containsInteger="1" minValue="1" maxValue="1"/>
    </cacheField>
    <cacheField name="3.3.2. Uso de modelos de analítica de datos para optimizar los procesos " numFmtId="0">
      <sharedItems containsString="0" containsBlank="1" containsNumber="1" minValue="0.5" maxValue="1"/>
    </cacheField>
    <cacheField name="3.3.3 Uso de herramientas de analítica avanzada disponibles en la entidad" numFmtId="0">
      <sharedItems containsString="0" containsBlank="1" containsNumber="1" minValue="0" maxValue="1"/>
    </cacheField>
    <cacheField name="4.1.1. Uso de los indicadores del organismo" numFmtId="0">
      <sharedItems containsString="0" containsBlank="1" containsNumber="1" minValue="0.25" maxValue="1"/>
    </cacheField>
    <cacheField name="4.1.2. Principales usuarios de la información " numFmtId="0">
      <sharedItems containsString="0" containsBlank="1" containsNumber="1" minValue="0.5" maxValue="1"/>
    </cacheField>
    <cacheField name="4.1.3. Difusión de resultados estadísticos" numFmtId="0">
      <sharedItems containsString="0" containsBlank="1" containsNumber="1" minValue="0" maxValue="1"/>
    </cacheField>
    <cacheField name="4.2.1. Uso de medios para la difusión de los resultados estadísticos" numFmtId="0">
      <sharedItems containsString="0" containsBlank="1" containsNumber="1" minValue="0" maxValue="1"/>
    </cacheField>
    <cacheField name="4.2.2. Publicación de elementos en la página web o micrositio a disposición de grupos de interés" numFmtId="0">
      <sharedItems containsString="0" containsBlank="1" containsNumber="1" minValue="0" maxValue="1"/>
    </cacheField>
    <cacheField name="4.2.3. Evaluación de la satisfacción de necesidades de información de los usuarios" numFmtId="0">
      <sharedItems containsString="0" containsBlank="1" containsNumber="1" containsInteger="1" minValue="0" maxValue="0"/>
    </cacheField>
    <cacheField name="4.2.4. Uso de mecanismos para la medición de la satisfacción de necesidades de información de los usuarios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05.570518402776" createdVersion="8" refreshedVersion="8" minRefreshableVersion="3" recordCount="83" xr:uid="{B31B8D6D-6C79-4D7A-9865-522DC56ED0FF}">
  <cacheSource type="worksheet">
    <worksheetSource ref="A1:BA1048576" sheet="2024-2025"/>
  </cacheSource>
  <cacheFields count="53">
    <cacheField name="AÑO" numFmtId="0">
      <sharedItems containsString="0" containsBlank="1" containsNumber="1" containsInteger="1" minValue="2024" maxValue="2025" count="3">
        <n v="2025"/>
        <n v="2024"/>
        <m/>
      </sharedItems>
    </cacheField>
    <cacheField name="Organismo" numFmtId="0">
      <sharedItems containsBlank="1" count="29">
        <s v="Contratación Pública"/>
        <s v="Control Disciplinario Interno de Instrucción"/>
        <s v="Control Interno"/>
        <s v="Desarrollo e Innovación Institucional"/>
        <s v="Gestión del Medio Ambiente"/>
        <s v="Gestión Jurídica Pública"/>
        <s v="Hacienda"/>
        <s v="Planeación"/>
        <s v="Tecnologías de la Información y las Comunicaciones"/>
        <s v="Bienestar Social"/>
        <s v="Cultura"/>
        <s v="Deporte y la Recreación"/>
        <s v="Desarrollo Económico"/>
        <s v="Desarrollo Territorial y Participación Ciudadana"/>
        <s v="Educación"/>
        <s v="Gestión del Riesgo de Emergencias y Desastres"/>
        <s v="Gobierno"/>
        <s v="Infraestructura"/>
        <s v="Movilidad"/>
        <s v="Paz y Cultura Ciudadana"/>
        <s v="Salud Pública"/>
        <s v="Seguridad y Justicia"/>
        <s v="Turismo"/>
        <s v="Vivienda Social y Hábitat"/>
        <s v="Bienes y Servicios"/>
        <s v="Protección Animal"/>
        <s v="Servicios Públicos"/>
        <s v="Control Disciplinario Interno"/>
        <m/>
      </sharedItems>
    </cacheField>
    <cacheField name="Nivel organismo" numFmtId="0">
      <sharedItems containsBlank="1" count="4">
        <s v="Departamento Administrativo"/>
        <s v="Secretaría"/>
        <s v="Unidad Administrativa Especial"/>
        <m/>
      </sharedItems>
    </cacheField>
    <cacheField name="Índice de Capacidad Estadística Organismo" numFmtId="0">
      <sharedItems containsString="0" containsBlank="1" containsNumber="1" minValue="0.27857638888888892" maxValue="0.84754501388888892"/>
    </cacheField>
    <cacheField name="RD_Entorno Institucional" numFmtId="0">
      <sharedItems containsString="0" containsBlank="1" containsNumber="1" minValue="0.29166666666666669" maxValue="1"/>
    </cacheField>
    <cacheField name="RD_Infraestructura" numFmtId="0">
      <sharedItems containsString="0" containsBlank="1" containsNumber="1" minValue="0.30874999999999997" maxValue="0.9375"/>
    </cacheField>
    <cacheField name="RD_Metodología Estadística" numFmtId="0">
      <sharedItems containsString="0" containsBlank="1" containsNumber="1" minValue="0.30555555555555558" maxValue="0.92592592592592582"/>
    </cacheField>
    <cacheField name="RD_Accesibilidad y uso" numFmtId="0">
      <sharedItems containsString="0" containsBlank="1" containsNumber="1" minValue="6.25E-2" maxValue="0.75"/>
    </cacheField>
    <cacheField name="RDS_1.1. Marco institucional" numFmtId="0">
      <sharedItems containsString="0" containsBlank="1" containsNumber="1" minValue="0.5" maxValue="1" count="10">
        <n v="0.875"/>
        <n v="0.75"/>
        <n v="0.6875"/>
        <n v="1"/>
        <n v="0.8125"/>
        <n v="0.5625"/>
        <n v="0.9375"/>
        <n v="0.5"/>
        <n v="0.625"/>
        <m/>
      </sharedItems>
    </cacheField>
    <cacheField name="RDS_1.2.Gestión del conocimiento" numFmtId="0">
      <sharedItems containsString="0" containsBlank="1" containsNumber="1" minValue="8.3333333333333329E-2" maxValue="1" count="32">
        <n v="0.36"/>
        <n v="0.41666666666666663"/>
        <n v="0.25"/>
        <n v="0.72333333333333338"/>
        <n v="0.91666666666666652"/>
        <n v="0.58333333333333326"/>
        <n v="0.44333333333333336"/>
        <n v="0.5"/>
        <n v="1"/>
        <n v="0.80666666666666664"/>
        <n v="0.33333333333333331"/>
        <n v="8.3333333333333329E-2"/>
        <n v="0.55666666666666664"/>
        <n v="0.75"/>
        <n v="0.66666666666666663"/>
        <n v="0.64"/>
        <n v="0.19333333333333333"/>
        <n v="0.30666666666666664"/>
        <n v="0.80555555555555558"/>
        <n v="0.7222222222222221"/>
        <n v="0.74999999999999989"/>
        <n v="0.63888888888888895"/>
        <n v="0.55555555555555558"/>
        <n v="0.61099999999999999"/>
        <n v="0.47222222222222232"/>
        <n v="0.52766666666666662"/>
        <n v="0.52777777777777768"/>
        <n v="0.83333333333333326"/>
        <n v="0.61111111111111094"/>
        <n v="0.30555555555555564"/>
        <n v="0.16666666666666666"/>
        <m/>
      </sharedItems>
    </cacheField>
    <cacheField name="RDS_2.1. Uso de herramientas de gestión y procesamiento de datos" numFmtId="0">
      <sharedItems containsString="0" containsBlank="1" containsNumber="1" minValue="0" maxValue="1"/>
    </cacheField>
    <cacheField name="RDS_2.2. Recursos humanos, tecnológicos y financieros" numFmtId="0">
      <sharedItems containsString="0" containsBlank="1" containsNumber="1" minValue="0.39583333333333331" maxValue="0.88083333333333325"/>
    </cacheField>
    <cacheField name="RDS_3.1. Operaciones estadísticas" numFmtId="0">
      <sharedItems containsString="0" containsBlank="1" containsNumber="1" minValue="0" maxValue="0.94444444444444431"/>
    </cacheField>
    <cacheField name="RDS_3.2. Indicadores" numFmtId="0">
      <sharedItems containsString="0" containsBlank="1" containsNumber="1" minValue="0" maxValue="1"/>
    </cacheField>
    <cacheField name="RDS_3.3. Analítica de datos" numFmtId="0">
      <sharedItems containsString="0" containsBlank="1" containsNumber="1" minValue="0.16666666666666666" maxValue="1"/>
    </cacheField>
    <cacheField name="RDS_4.1. Disponibilidad y uso" numFmtId="0">
      <sharedItems containsString="0" containsBlank="1" containsNumber="1" minValue="0.125" maxValue="1"/>
    </cacheField>
    <cacheField name="RDS_4.2. Accesibilidad" numFmtId="0">
      <sharedItems containsString="0" containsBlank="1" containsNumber="1" minValue="0" maxValue="0.5"/>
    </cacheField>
    <cacheField name="1. Dimensión Entorno Institucional-1.1 Subdimensión Marco Institucional-1.1.1. Funciones relacionadas" numFmtId="0">
      <sharedItems containsString="0" containsBlank="1" containsNumber="1" containsInteger="1" minValue="1" maxValue="1"/>
    </cacheField>
    <cacheField name="1. Dimensión Entorno Institucional-1.1 Subdimensión Marco Institucional-1.1.2. Procedimientos relacionados" numFmtId="0">
      <sharedItems containsString="0" containsBlank="1" containsNumber="1" minValue="0.25" maxValue="1"/>
    </cacheField>
    <cacheField name="1. Dimensión Entorno Institucional-1.1 Subdimensión Marco Institucional-1.1.3. Herramientas de planificación procesamiento" numFmtId="0">
      <sharedItems containsString="0" containsBlank="1" containsNumber="1" minValue="0" maxValue="1"/>
    </cacheField>
    <cacheField name="1. Dimensión Entorno Institucional-1.1 Subdimensión Marco Institucional-1.1.4. Herramientas de planificación mejoramiento " numFmtId="0">
      <sharedItems containsString="0" containsBlank="1" containsNumber="1" minValue="0" maxValue="1"/>
    </cacheField>
    <cacheField name="1. Dimensión Entorno Institucional-1.2. Subdimensión Gestión del Conocimiento-1.2.1 Fortalecimiento de competencias estadísticas" numFmtId="0">
      <sharedItems containsString="0" containsBlank="1" containsNumber="1" minValue="0" maxValue="1"/>
    </cacheField>
    <cacheField name="1. Dimensión Entorno Institucional-1.2. Subdimensión Gestión del Conocimiento-1.2.2. Participación en instancias de coordinación interinstitucional" numFmtId="0">
      <sharedItems containsString="0" containsBlank="1" containsNumber="1" minValue="0" maxValue="1"/>
    </cacheField>
    <cacheField name="1. Dimensión Entorno Institucional-1.2. Subdimensión Gestión del Conocimiento-1.2.3 Trazabilidad y continuidad en los procesos estadísticos" numFmtId="0">
      <sharedItems containsString="0" containsBlank="1" containsNumber="1" minValue="0" maxValue="1"/>
    </cacheField>
    <cacheField name="2. Dimensión Infraestructura-2.1. Subdimensión Uso de herramientas de gestión y procesamiento de datos-2.1.1. Herramientas de procesamiento de datos" numFmtId="0">
      <sharedItems containsString="0" containsBlank="1" containsNumber="1" minValue="0" maxValue="1.0000000000000004"/>
    </cacheField>
    <cacheField name="2. Dimensión Infraestructura-2.1. Subdimensión Uso de herramientas de gestión y procesamiento de datos-2.1.2. Uso de gestores de bases de datos en la entidad territorial para operaciones estadísticas, registros administrativos e indicadores" numFmtId="0">
      <sharedItems containsString="0" containsBlank="1" containsNumber="1" minValue="0" maxValue="1.0000000000000002"/>
    </cacheField>
    <cacheField name="2. Dimensión Infraestructura-2.1. Subdimensión Uso de herramientas de gestión y procesamiento de datos-2.1.3. Uso de herramientas de visualización y/o monitoreo de datos" numFmtId="0">
      <sharedItems containsString="0" containsBlank="1" containsNumber="1" containsInteger="1" minValue="0" maxValue="1"/>
    </cacheField>
    <cacheField name="2. Dimensión Infraestructura-2.2 Subdimensión Recursos humanos, tecnológicos y financieros-2.2.1. Percepción suficiencia herramientas de procesamiento y visualización" numFmtId="0">
      <sharedItems containsString="0" containsBlank="1" containsNumber="1" minValue="0.25" maxValue="1"/>
    </cacheField>
    <cacheField name="2. Dimensión Infraestructura-2.2 Subdimensión Recursos humanos, tecnológicos y financieros-2.2.2. Existencia de una persona, grupo o grupos internos de trabajo para la generación, procesamiento, análisis y difusión de información estadística" numFmtId="0">
      <sharedItems containsString="0" containsBlank="1" containsNumber="1" containsInteger="1" minValue="0" maxValue="1"/>
    </cacheField>
    <cacheField name="2. Dimensión Infraestructura-2.2 Subdimensión Recursos humanos, tecnológicos y financieros-2.2.3. Recurso humano disponible en cada etapa del proceso estadístico" numFmtId="0">
      <sharedItems containsString="0" containsBlank="1" containsNumber="1" minValue="0" maxValue="1"/>
    </cacheField>
    <cacheField name="2. Dimensión Infraestructura-2.2 Subdimensión Recursos humanos, tecnológicos y financieros-2.2.4. Percepción suficiencia del recurso humano para la generación, procesamiento, análisis y difusión de información estadística" numFmtId="0">
      <sharedItems containsString="0" containsBlank="1" containsNumber="1" minValue="0.25" maxValue="1"/>
    </cacheField>
    <cacheField name="2. Dimensión Infraestructura-2.2 Subdimensión Recursos humanos, tecnológicos y financieros-2.2.5. Recursos destinados de Hardware, Software y de personas para la generación, procesamiento, análisis y difusión de información estadística" numFmtId="0">
      <sharedItems containsString="0" containsBlank="1" containsNumber="1" minValue="0" maxValue="1"/>
    </cacheField>
    <cacheField name="2. Dimensión Infraestructura-2.2 Subdimensión Recursos humanos, tecnológicos y financieros-2.2.6. Percepción suficiencia en la asignación de recursos financieros para la generación, procesamiento, análisis y difusión de información estadística" numFmtId="0">
      <sharedItems containsString="0" containsBlank="1" containsNumber="1" minValue="0" maxValue="0.75"/>
    </cacheField>
    <cacheField name="3. Dimensión Metodología Estadística-3.1. Subdimensión Operaciones estadísticas-3.1.1. Existencia de documentos metodológicos de las operaciones estadísticas" numFmtId="0">
      <sharedItems containsString="0" containsBlank="1" containsNumber="1" minValue="0" maxValue="1"/>
    </cacheField>
    <cacheField name="3. Dimensión Metodología Estadística-3.1. Subdimensión Operaciones estadísticas-3.1.2. Existencia de fichas metodológicas de las operaciones estadísticas" numFmtId="0">
      <sharedItems containsString="0" containsBlank="1" containsNumber="1" minValue="0" maxValue="1"/>
    </cacheField>
    <cacheField name="3. Dimensión Metodología Estadística-3.1. Subdimensión Operaciones estadísticas-3.1.3. Existencia de manuales operativos, diccionario de datos y documentos de consistencia y validación de las operaciones estadísticas" numFmtId="0">
      <sharedItems containsString="0" containsBlank="1" containsNumber="1" minValue="0" maxValue="0.66666666666666663"/>
    </cacheField>
    <cacheField name="3. Dimensión Metodología Estadística-3.1. Subdimensión Operaciones estadísticas-3.1.4. Implementación de acciones de fortalecimiento, calidad y mejoramiento de las operaciones estadísticas" numFmtId="0">
      <sharedItems containsString="0" containsBlank="1" containsNumber="1" minValue="0" maxValue="1"/>
    </cacheField>
    <cacheField name="3. Dimensión Metodología Estadística-3.1. Subdimensión Operaciones estadísticas-3.1.5. Uso de Lineamientos, normas y estándares para producción de estadísticas implementadas en el organismo" numFmtId="0">
      <sharedItems containsString="0" containsBlank="1" containsNumber="1" containsInteger="1" minValue="0" maxValue="1"/>
    </cacheField>
    <cacheField name="3. Dimensión Metodología Estadística-3.1. Subdimensión Operaciones estadísticas-3.1.6. Mecanimos para detección de necesidades misionales o estadísticas" numFmtId="0">
      <sharedItems containsString="0" containsBlank="1" containsNumber="1" minValue="0" maxValue="1.0000000000000004"/>
    </cacheField>
    <cacheField name="3. Dimensión Metodología Estadística-3.2. Subdimensión de indicadores-3.2.1. Proceso de análisis de indicadores de resultado liderados por el organismo" numFmtId="0">
      <sharedItems containsString="0" containsBlank="1" containsNumber="1" minValue="0" maxValue="1.0000000000000002"/>
    </cacheField>
    <cacheField name="3. Dimensión Metodología Estadística-3.2. Subdimensión de indicadores-3.2.2. Articulación entre organismos para el seguimiento de indicadores de producto" numFmtId="0">
      <sharedItems containsString="0" containsBlank="1" containsNumber="1" containsInteger="1" minValue="0" maxValue="1"/>
    </cacheField>
    <cacheField name="3. Dimensión Metodología Estadística-3.2. Subdimensión de indicadores-3.2.3. Articulación entre organismos líderes de indicadores de producto y líderes indicadores de resultado" numFmtId="0">
      <sharedItems containsString="0" containsBlank="1" containsNumber="1" minValue="0" maxValue="1.0000000000000004"/>
    </cacheField>
    <cacheField name="3. Dimensión Metodología Estadística-3.3. Subdimensión Analítica de datos-3.3.1. Implementación de lineamientos metodológicos" numFmtId="0">
      <sharedItems containsString="0" containsBlank="1" containsNumber="1" minValue="0" maxValue="1.0000000000000002"/>
    </cacheField>
    <cacheField name="3. Dimensión Metodología Estadística-3.3. Subdimensión Analítica de datos-3.3.2. Uso de modelos de analítica de datos para optimizar los procesos " numFmtId="0">
      <sharedItems containsString="0" containsBlank="1" containsNumber="1" minValue="0.5" maxValue="1"/>
    </cacheField>
    <cacheField name="3. Dimensión Metodología Estadística-3.3. Subdimensión Analítica de datos-3.3.3 Uso de herramientas de analítica avanzada disponibles en la entidad" numFmtId="0">
      <sharedItems containsString="0" containsBlank="1" containsNumber="1" minValue="0" maxValue="1"/>
    </cacheField>
    <cacheField name="4. Dimensión Accesibilidad y Uso de la Información Estadística-4.1. Subdimensión Disponibilidad y uso-4.1.1. Uso de los indicadores del organismo" numFmtId="0">
      <sharedItems containsString="0" containsBlank="1" containsNumber="1" minValue="0.25" maxValue="1"/>
    </cacheField>
    <cacheField name="4. Dimensión Accesibilidad y Uso de la Información Estadística-4.1. Subdimensión Disponibilidad y uso-4.1.2. Principales usuarios de la información " numFmtId="0">
      <sharedItems containsString="0" containsBlank="1" containsNumber="1" minValue="0" maxValue="1.0000000000000002"/>
    </cacheField>
    <cacheField name="4. Dimensión Accesibilidad y Uso de la Información Estadística-4.1. Subdimensión Disponibilidad y uso-4.1.3. Difusión de resultados estadísticos" numFmtId="0">
      <sharedItems containsString="0" containsBlank="1" containsNumber="1" minValue="0" maxValue="1.0000000000000002"/>
    </cacheField>
    <cacheField name="4. Dimensión Accesibilidad y Uso de la Información Estadística-4.1. Subdimensión Disponibilidad y uso-4.1.4 Publicación de las OOEE en el SICODE" numFmtId="0">
      <sharedItems containsBlank="1" containsMixedTypes="1" containsNumber="1" minValue="0" maxValue="0.25"/>
    </cacheField>
    <cacheField name="4. Dimensión Accesibilidad y Uso de la Información Estadística-4.2. Subdimensión Accesibilidad-4.2.1. Uso de medios para la difusión de los resultados estadísticos" numFmtId="0">
      <sharedItems containsString="0" containsBlank="1" containsNumber="1" minValue="0" maxValue="1.0000000000000002"/>
    </cacheField>
    <cacheField name="4. Dimensión Accesibilidad y Uso de la Información Estadística-4.2. Subdimensión Accesibilidad-4.2.2. Publicación de elementos en la página web o micrositio a disposición de grupos de interés" numFmtId="0">
      <sharedItems containsString="0" containsBlank="1" containsNumber="1" minValue="0" maxValue="1"/>
    </cacheField>
    <cacheField name="4. Dimensión Accesibilidad y Uso de la Información Estadística-4.2. Subdimensión Accesibilidad-4.2.3. Evaluación de la satisfacción de necesidades de información de los usuarios" numFmtId="0">
      <sharedItems containsString="0" containsBlank="1" containsNumber="1" containsInteger="1" minValue="0" maxValue="0"/>
    </cacheField>
    <cacheField name="4. Dimensión Accesibilidad y Uso de la Información Estadística-4.2. Subdimensión Accesibilidad-4.2.4. Uso de mecanismos para la medición de la satisfacción de necesidades de información de los usuarios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15"/>
    <x v="0"/>
    <x v="0"/>
    <n v="0.84911908796296287"/>
    <n v="0.92708333333333326"/>
    <n v="0.9375"/>
    <x v="0"/>
    <n v="0.75"/>
    <n v="0.9375"/>
    <n v="0.91666666666666652"/>
    <n v="1"/>
    <n v="0.87499999999999989"/>
    <x v="0"/>
    <x v="0"/>
    <x v="0"/>
    <n v="1"/>
    <n v="0.5"/>
    <n v="1"/>
    <n v="1"/>
    <n v="1"/>
    <n v="0.75"/>
    <n v="1"/>
    <n v="0.75"/>
    <n v="1"/>
    <n v="1"/>
    <n v="1"/>
    <n v="1"/>
    <n v="0.75"/>
    <n v="1"/>
    <n v="1"/>
    <n v="0.75"/>
    <n v="1"/>
    <n v="0.75"/>
    <n v="0.55555600000000005"/>
    <n v="0.33333333333333331"/>
    <n v="0.18518499999999999"/>
    <n v="0"/>
    <n v="1"/>
    <n v="1"/>
    <n v="1"/>
    <n v="1"/>
    <n v="1"/>
    <n v="1"/>
    <n v="0.5"/>
    <n v="1"/>
    <n v="1"/>
    <n v="1"/>
    <n v="1"/>
    <n v="1"/>
    <n v="1"/>
    <n v="0"/>
    <n v="0"/>
  </r>
  <r>
    <n v="2"/>
    <x v="1"/>
    <x v="1"/>
    <n v="0.75722473832528181"/>
    <n v="1"/>
    <n v="0.89930555555555558"/>
    <x v="1"/>
    <n v="0.59416666666666662"/>
    <n v="1"/>
    <n v="1"/>
    <n v="1"/>
    <n v="0.79861111111111116"/>
    <x v="1"/>
    <x v="1"/>
    <x v="0"/>
    <n v="0.83333333333333326"/>
    <n v="0.35499999999999998"/>
    <n v="1"/>
    <n v="1"/>
    <n v="1"/>
    <n v="1"/>
    <n v="1"/>
    <n v="1"/>
    <n v="1"/>
    <n v="1"/>
    <n v="1"/>
    <n v="1"/>
    <n v="0.75"/>
    <n v="1"/>
    <n v="0.875"/>
    <n v="0.75"/>
    <n v="0.66666666666666663"/>
    <n v="0.75"/>
    <n v="0.34782608695652173"/>
    <n v="0.21739130434782608"/>
    <n v="7.2463768115942032E-2"/>
    <n v="0"/>
    <n v="1"/>
    <n v="1"/>
    <n v="1"/>
    <n v="0"/>
    <n v="0"/>
    <n v="1"/>
    <n v="0.5"/>
    <n v="1"/>
    <n v="0.5"/>
    <n v="1"/>
    <n v="1"/>
    <n v="0.67"/>
    <n v="0.75"/>
    <n v="0"/>
    <n v="0"/>
  </r>
  <r>
    <n v="21"/>
    <x v="2"/>
    <x v="1"/>
    <n v="0.7505787037037035"/>
    <n v="0.90277777777777779"/>
    <n v="0.46527777777777768"/>
    <x v="2"/>
    <n v="0.70833333333333326"/>
    <n v="1"/>
    <n v="0.80555555555555558"/>
    <n v="0.33333333333333331"/>
    <n v="0.5972222222222221"/>
    <x v="2"/>
    <x v="0"/>
    <x v="0"/>
    <n v="0.91666666666666652"/>
    <n v="0.5"/>
    <n v="1"/>
    <n v="1"/>
    <n v="1"/>
    <n v="1"/>
    <n v="0.66666666666666663"/>
    <n v="0.75"/>
    <n v="1"/>
    <n v="1"/>
    <n v="0"/>
    <n v="0"/>
    <n v="0.5"/>
    <n v="1"/>
    <n v="1"/>
    <n v="0.5"/>
    <n v="0.33333333333333331"/>
    <n v="0.25"/>
    <n v="1"/>
    <n v="1"/>
    <n v="0.66666666666666663"/>
    <n v="1"/>
    <n v="1"/>
    <n v="1"/>
    <n v="1"/>
    <n v="1"/>
    <n v="1"/>
    <n v="1"/>
    <n v="1"/>
    <n v="0.5"/>
    <n v="0.75"/>
    <n v="1"/>
    <n v="1"/>
    <n v="1"/>
    <n v="1"/>
    <n v="0"/>
    <n v="0"/>
  </r>
  <r>
    <n v="23"/>
    <x v="3"/>
    <x v="1"/>
    <n v="0.7456597222222221"/>
    <n v="0.86111111111111105"/>
    <n v="0.69444444444444442"/>
    <x v="3"/>
    <n v="0.67708333333333326"/>
    <n v="1"/>
    <n v="0.7222222222222221"/>
    <n v="0.66666666666666663"/>
    <n v="0.72222222222222221"/>
    <x v="3"/>
    <x v="0"/>
    <x v="1"/>
    <n v="0.91666666666666652"/>
    <n v="0.4375"/>
    <n v="1"/>
    <n v="1"/>
    <n v="1"/>
    <n v="1"/>
    <n v="0.66666666666666663"/>
    <n v="0.5"/>
    <n v="1"/>
    <n v="1"/>
    <n v="1"/>
    <n v="0"/>
    <n v="0.75"/>
    <n v="1"/>
    <n v="1"/>
    <n v="0.75"/>
    <n v="0.33333333333333331"/>
    <n v="0.5"/>
    <n v="0.4"/>
    <n v="0.2"/>
    <n v="0.2"/>
    <n v="0.2"/>
    <n v="1"/>
    <n v="1"/>
    <n v="1"/>
    <n v="1"/>
    <n v="1"/>
    <n v="1"/>
    <n v="1"/>
    <n v="0.25"/>
    <n v="0.75"/>
    <n v="1"/>
    <n v="1"/>
    <n v="1"/>
    <n v="0.75"/>
    <n v="0"/>
    <n v="0"/>
  </r>
  <r>
    <n v="14"/>
    <x v="4"/>
    <x v="1"/>
    <n v="0.74135416666666665"/>
    <n v="0.875"/>
    <n v="0.875"/>
    <x v="4"/>
    <n v="0.71875"/>
    <n v="0.75"/>
    <n v="1"/>
    <n v="1"/>
    <n v="0.74999999999999989"/>
    <x v="4"/>
    <x v="2"/>
    <x v="2"/>
    <n v="1"/>
    <n v="0.4375"/>
    <n v="1"/>
    <n v="1"/>
    <n v="1"/>
    <n v="0"/>
    <n v="1"/>
    <n v="1"/>
    <n v="1"/>
    <n v="1"/>
    <n v="1"/>
    <n v="1"/>
    <n v="0.5"/>
    <n v="1"/>
    <n v="1"/>
    <n v="0.75"/>
    <n v="1"/>
    <n v="0.25"/>
    <n v="1"/>
    <n v="0.8"/>
    <n v="0.84"/>
    <n v="0.8"/>
    <n v="1"/>
    <n v="1"/>
    <n v="0"/>
    <n v="0"/>
    <n v="0"/>
    <n v="1"/>
    <n v="0.5"/>
    <n v="0.25"/>
    <n v="1"/>
    <n v="1"/>
    <n v="1"/>
    <n v="1"/>
    <n v="0.75"/>
    <n v="0"/>
    <n v="0"/>
  </r>
  <r>
    <n v="20"/>
    <x v="5"/>
    <x v="1"/>
    <n v="0.73177083333333326"/>
    <n v="0.875"/>
    <n v="0.59027777777777768"/>
    <x v="5"/>
    <n v="0.57291666666666663"/>
    <n v="1"/>
    <n v="0.74999999999999989"/>
    <n v="0.66666666666666663"/>
    <n v="0.51388888888888884"/>
    <x v="5"/>
    <x v="0"/>
    <x v="3"/>
    <n v="0.91666666666666652"/>
    <n v="0.22916666666666666"/>
    <n v="1"/>
    <n v="1"/>
    <n v="1"/>
    <n v="1"/>
    <n v="1"/>
    <n v="0.75"/>
    <n v="0.5"/>
    <n v="1"/>
    <n v="0"/>
    <n v="1"/>
    <n v="0.25"/>
    <n v="1"/>
    <n v="1"/>
    <n v="0.25"/>
    <n v="0.33333333333333331"/>
    <n v="0.25"/>
    <n v="1"/>
    <n v="1"/>
    <n v="1"/>
    <n v="1"/>
    <n v="1"/>
    <n v="1"/>
    <n v="1"/>
    <n v="1"/>
    <n v="1"/>
    <n v="1"/>
    <n v="1"/>
    <n v="0"/>
    <n v="0.75"/>
    <n v="1"/>
    <n v="1"/>
    <n v="0.66666666666666663"/>
    <n v="0.25"/>
    <n v="0"/>
    <n v="0"/>
  </r>
  <r>
    <n v="19"/>
    <x v="6"/>
    <x v="0"/>
    <n v="0.70515046296296302"/>
    <n v="0.75694444444444442"/>
    <n v="0.90277777777777779"/>
    <x v="6"/>
    <n v="0.47569444444444442"/>
    <n v="0.875"/>
    <n v="0.63888888888888895"/>
    <n v="1"/>
    <n v="0.80555555555555558"/>
    <x v="6"/>
    <x v="0"/>
    <x v="4"/>
    <n v="0.63888888888888884"/>
    <n v="0.3125"/>
    <n v="1"/>
    <n v="1"/>
    <n v="0.75"/>
    <n v="0.75"/>
    <n v="0.66666666666666696"/>
    <n v="0.25"/>
    <n v="1"/>
    <n v="1"/>
    <n v="1"/>
    <n v="1"/>
    <n v="1"/>
    <n v="1"/>
    <n v="1"/>
    <n v="0.75"/>
    <n v="0.33333333333333331"/>
    <n v="0.75"/>
    <n v="0"/>
    <n v="0"/>
    <n v="0.33333333333333331"/>
    <n v="1"/>
    <n v="1"/>
    <n v="1"/>
    <n v="1"/>
    <n v="1"/>
    <n v="1"/>
    <n v="1"/>
    <n v="0.5"/>
    <n v="0"/>
    <n v="0.25"/>
    <n v="1"/>
    <n v="0.66666666666666663"/>
    <n v="1"/>
    <n v="0.25"/>
    <n v="0"/>
    <n v="0"/>
  </r>
  <r>
    <n v="22"/>
    <x v="7"/>
    <x v="1"/>
    <n v="0.69270833333333326"/>
    <n v="0.71875"/>
    <n v="0.77777777777777768"/>
    <x v="7"/>
    <n v="0.63541666666666652"/>
    <n v="0.6875"/>
    <n v="0.74999999999999989"/>
    <n v="1"/>
    <n v="0.55555555555555547"/>
    <x v="7"/>
    <x v="0"/>
    <x v="2"/>
    <n v="0.91666666666666652"/>
    <n v="0.35416666666666663"/>
    <n v="1"/>
    <n v="0.25"/>
    <n v="0.75"/>
    <n v="0.75"/>
    <n v="1"/>
    <n v="0.75"/>
    <n v="0.5"/>
    <n v="1"/>
    <n v="1"/>
    <n v="1"/>
    <n v="0.5"/>
    <n v="1"/>
    <n v="0.75"/>
    <n v="0.5"/>
    <n v="0.33333333333333331"/>
    <n v="0.25"/>
    <n v="0"/>
    <n v="0"/>
    <n v="0"/>
    <n v="0"/>
    <n v="1"/>
    <n v="1"/>
    <n v="1"/>
    <n v="1"/>
    <n v="1"/>
    <n v="1"/>
    <n v="0.5"/>
    <n v="0.25"/>
    <n v="0.75"/>
    <n v="1"/>
    <n v="1"/>
    <n v="0.66666666666666663"/>
    <n v="0.75"/>
    <n v="0"/>
    <n v="0"/>
  </r>
  <r>
    <n v="25"/>
    <x v="8"/>
    <x v="1"/>
    <n v="0.68229166666666652"/>
    <n v="0.84375"/>
    <n v="0.74652777777777779"/>
    <x v="8"/>
    <n v="0.58333333333333326"/>
    <n v="0.9375"/>
    <n v="0.74999999999999989"/>
    <n v="1"/>
    <n v="0.49305555555555552"/>
    <x v="7"/>
    <x v="3"/>
    <x v="3"/>
    <n v="0.83333333333333326"/>
    <n v="0.33333333333333331"/>
    <n v="1"/>
    <n v="1"/>
    <n v="1"/>
    <n v="0.75"/>
    <n v="1"/>
    <n v="0.75"/>
    <n v="0.5"/>
    <n v="1"/>
    <n v="1"/>
    <n v="1"/>
    <n v="0.25"/>
    <n v="1"/>
    <n v="0.875"/>
    <n v="0.25"/>
    <n v="0.33333333333333331"/>
    <n v="0.25"/>
    <n v="0"/>
    <n v="0"/>
    <n v="0"/>
    <n v="0"/>
    <n v="1"/>
    <n v="1"/>
    <n v="1"/>
    <n v="1"/>
    <n v="0"/>
    <n v="1"/>
    <n v="0.5"/>
    <n v="0.5"/>
    <n v="0.5"/>
    <n v="1"/>
    <n v="1"/>
    <n v="0.33333333333333331"/>
    <n v="1"/>
    <n v="0"/>
    <n v="0"/>
  </r>
  <r>
    <n v="13"/>
    <x v="9"/>
    <x v="0"/>
    <n v="0.67575231944444447"/>
    <n v="0.65277777777777779"/>
    <n v="0.84722222222222221"/>
    <x v="9"/>
    <n v="0.59375"/>
    <n v="0.75"/>
    <n v="0.55555555555555558"/>
    <n v="1"/>
    <n v="0.69444444444444442"/>
    <x v="8"/>
    <x v="3"/>
    <x v="1"/>
    <n v="0.83333333333333326"/>
    <n v="0.35416666666666674"/>
    <n v="1"/>
    <n v="1"/>
    <n v="0.5"/>
    <n v="0.5"/>
    <n v="0.66666666666666696"/>
    <n v="0.5"/>
    <n v="0.5"/>
    <n v="1"/>
    <n v="1"/>
    <n v="1"/>
    <n v="0.5"/>
    <n v="1"/>
    <n v="1"/>
    <n v="0.5"/>
    <n v="0.66666666666666663"/>
    <n v="0.5"/>
    <n v="0.4"/>
    <n v="6.6667000000000004E-2"/>
    <n v="0"/>
    <n v="0"/>
    <n v="1"/>
    <n v="1"/>
    <n v="1"/>
    <n v="1"/>
    <n v="0"/>
    <n v="1"/>
    <n v="1"/>
    <n v="0.25"/>
    <n v="0.5"/>
    <n v="1"/>
    <n v="1"/>
    <n v="0.66666666666666696"/>
    <n v="0.75"/>
    <n v="0"/>
    <n v="0"/>
  </r>
  <r>
    <n v="27"/>
    <x v="10"/>
    <x v="1"/>
    <n v="0.66493055555555558"/>
    <n v="0.76736111111111105"/>
    <n v="0.75"/>
    <x v="10"/>
    <n v="0.47569444444444442"/>
    <n v="0.8125"/>
    <n v="0.7222222222222221"/>
    <n v="0.66666666666666663"/>
    <n v="0.83333333333333326"/>
    <x v="7"/>
    <x v="0"/>
    <x v="3"/>
    <n v="0.80555555555555547"/>
    <n v="0.14583333333333331"/>
    <n v="1"/>
    <n v="1"/>
    <n v="0.75"/>
    <n v="0.5"/>
    <n v="0.66666666666666663"/>
    <n v="0.5"/>
    <n v="1"/>
    <n v="1"/>
    <n v="0"/>
    <n v="1"/>
    <n v="0.75"/>
    <n v="1"/>
    <n v="1"/>
    <n v="0.5"/>
    <n v="1"/>
    <n v="0.75"/>
    <n v="0"/>
    <n v="0"/>
    <n v="0"/>
    <n v="0"/>
    <n v="1"/>
    <n v="1"/>
    <n v="1"/>
    <n v="1"/>
    <n v="1"/>
    <n v="1"/>
    <n v="1"/>
    <n v="0"/>
    <n v="0.75"/>
    <n v="1"/>
    <n v="0.66666666666666663"/>
    <n v="0.33333333333333331"/>
    <n v="0.25"/>
    <n v="0"/>
    <n v="0"/>
  </r>
  <r>
    <n v="3"/>
    <x v="11"/>
    <x v="0"/>
    <n v="0.65812499999999996"/>
    <n v="0.64583333333333326"/>
    <n v="0.92708333333333326"/>
    <x v="11"/>
    <n v="0.47624999999999995"/>
    <n v="0.625"/>
    <n v="0.66666666666666663"/>
    <n v="1"/>
    <n v="0.85416666666666663"/>
    <x v="9"/>
    <x v="0"/>
    <x v="2"/>
    <n v="0.6399999999999999"/>
    <n v="0.3125"/>
    <n v="1"/>
    <n v="1"/>
    <n v="0.5"/>
    <n v="0"/>
    <n v="1"/>
    <n v="0.5"/>
    <n v="0.5"/>
    <n v="1"/>
    <n v="1"/>
    <n v="1"/>
    <n v="1"/>
    <n v="1"/>
    <n v="0.875"/>
    <n v="0.75"/>
    <n v="1"/>
    <n v="0.5"/>
    <n v="0"/>
    <n v="0"/>
    <n v="0"/>
    <n v="0"/>
    <n v="0"/>
    <n v="1"/>
    <n v="1"/>
    <n v="1"/>
    <n v="1"/>
    <n v="1"/>
    <n v="0.5"/>
    <n v="0.25"/>
    <n v="0.25"/>
    <n v="1"/>
    <n v="0.67"/>
    <n v="1"/>
    <n v="0.25"/>
    <n v="0"/>
    <n v="0"/>
  </r>
  <r>
    <n v="5"/>
    <x v="12"/>
    <x v="1"/>
    <n v="0.65497684722222216"/>
    <n v="0.55902777777777779"/>
    <n v="0.77083333333333326"/>
    <x v="12"/>
    <n v="0.59375"/>
    <n v="0.5625"/>
    <n v="0.55555555555555558"/>
    <n v="1"/>
    <n v="0.54166666666666663"/>
    <x v="10"/>
    <x v="0"/>
    <x v="3"/>
    <n v="0.83333333333333326"/>
    <n v="0.35416666666666663"/>
    <n v="1"/>
    <n v="1"/>
    <n v="0.25"/>
    <n v="0"/>
    <n v="0.66666666666666696"/>
    <n v="0.5"/>
    <n v="0.5"/>
    <n v="1"/>
    <n v="1"/>
    <n v="1"/>
    <n v="0.75"/>
    <n v="1"/>
    <n v="1"/>
    <n v="0.5"/>
    <n v="0"/>
    <n v="0"/>
    <n v="0.2"/>
    <n v="0.2"/>
    <n v="0.13333300000000001"/>
    <n v="0"/>
    <n v="1"/>
    <n v="1"/>
    <n v="1"/>
    <n v="1"/>
    <n v="1"/>
    <n v="1"/>
    <n v="0.5"/>
    <n v="0.5"/>
    <n v="0.5"/>
    <n v="1"/>
    <n v="1"/>
    <n v="0.66666666666666663"/>
    <n v="0.75"/>
    <n v="0"/>
    <n v="0"/>
  </r>
  <r>
    <n v="11"/>
    <x v="13"/>
    <x v="1"/>
    <n v="0.63713888888888881"/>
    <n v="0.64924999999999999"/>
    <n v="0.80902777777777779"/>
    <x v="13"/>
    <n v="0.47916666666666663"/>
    <n v="0.6875"/>
    <n v="0.61099999999999999"/>
    <n v="1"/>
    <n v="0.61805555555555558"/>
    <x v="7"/>
    <x v="0"/>
    <x v="4"/>
    <n v="0.75"/>
    <n v="0.20833333333333331"/>
    <n v="1"/>
    <n v="1"/>
    <n v="0.75"/>
    <n v="0"/>
    <n v="0.33300000000000002"/>
    <n v="0.5"/>
    <n v="1"/>
    <n v="1"/>
    <n v="1"/>
    <n v="1"/>
    <n v="0.5"/>
    <n v="1"/>
    <n v="0.875"/>
    <n v="0.5"/>
    <n v="0.33333333333333331"/>
    <n v="0.5"/>
    <n v="0"/>
    <n v="0"/>
    <n v="0"/>
    <n v="0"/>
    <n v="1"/>
    <n v="1"/>
    <n v="1"/>
    <n v="1"/>
    <n v="1"/>
    <n v="1"/>
    <n v="0.5"/>
    <n v="0"/>
    <n v="0.25"/>
    <n v="1"/>
    <n v="1"/>
    <n v="0.33333333333333331"/>
    <n v="0.5"/>
    <n v="0"/>
    <n v="0"/>
  </r>
  <r>
    <n v="10"/>
    <x v="14"/>
    <x v="1"/>
    <n v="0.62670833333333342"/>
    <n v="0.51736111111111116"/>
    <n v="0.86111111111111116"/>
    <x v="13"/>
    <n v="0.51724999999999999"/>
    <n v="0.5625"/>
    <n v="0.47222222222222232"/>
    <n v="1"/>
    <n v="0.72222222222222221"/>
    <x v="7"/>
    <x v="0"/>
    <x v="4"/>
    <n v="0.72199999999999998"/>
    <n v="0.3125"/>
    <n v="1"/>
    <n v="1"/>
    <n v="0.25"/>
    <n v="0"/>
    <n v="0.66666666666666696"/>
    <n v="0.25"/>
    <n v="0.5"/>
    <n v="1"/>
    <n v="1"/>
    <n v="1"/>
    <n v="0.75"/>
    <n v="1"/>
    <n v="0.75"/>
    <n v="0.75"/>
    <n v="0.33333333333333331"/>
    <n v="0.75"/>
    <n v="0"/>
    <n v="0"/>
    <n v="0"/>
    <n v="0"/>
    <n v="1"/>
    <n v="1"/>
    <n v="1"/>
    <n v="1"/>
    <n v="1"/>
    <n v="1"/>
    <n v="0.5"/>
    <n v="0"/>
    <n v="0.5"/>
    <n v="1"/>
    <n v="0.66600000000000004"/>
    <n v="1"/>
    <n v="0.25"/>
    <n v="0"/>
    <n v="0"/>
  </r>
  <r>
    <n v="16"/>
    <x v="15"/>
    <x v="0"/>
    <n v="0.62278935185185191"/>
    <n v="0.72916666666666663"/>
    <n v="0.69444444444444442"/>
    <x v="14"/>
    <n v="0.52124999999999999"/>
    <n v="0.875"/>
    <n v="0.58333333333333326"/>
    <n v="0.66666666666666663"/>
    <n v="0.72222222222222221"/>
    <x v="6"/>
    <x v="1"/>
    <x v="1"/>
    <n v="0.75"/>
    <n v="0.29249999999999998"/>
    <n v="1"/>
    <n v="1"/>
    <n v="1"/>
    <n v="0.5"/>
    <n v="1"/>
    <n v="0.25"/>
    <n v="0.5"/>
    <n v="1"/>
    <n v="1"/>
    <n v="0"/>
    <n v="0.75"/>
    <n v="1"/>
    <n v="0.75"/>
    <n v="0.75"/>
    <n v="0.33333333333333331"/>
    <n v="0.75"/>
    <n v="1"/>
    <n v="0"/>
    <n v="0.33333333333333331"/>
    <n v="0"/>
    <n v="1"/>
    <n v="1"/>
    <n v="1"/>
    <n v="0"/>
    <n v="0"/>
    <n v="1"/>
    <n v="1"/>
    <n v="0.25"/>
    <n v="0.25"/>
    <n v="1"/>
    <n v="1"/>
    <n v="0.67"/>
    <n v="0.5"/>
    <n v="0"/>
    <n v="0"/>
  </r>
  <r>
    <n v="4"/>
    <x v="16"/>
    <x v="0"/>
    <n v="0.62235416666666654"/>
    <n v="0.80549999999999999"/>
    <n v="0.77777777777777768"/>
    <x v="15"/>
    <n v="0.51724999999999999"/>
    <n v="1"/>
    <n v="0.61099999999999999"/>
    <n v="1"/>
    <n v="0.55555555555555547"/>
    <x v="7"/>
    <x v="1"/>
    <x v="4"/>
    <n v="0.72199999999999986"/>
    <n v="0.3125"/>
    <n v="1"/>
    <n v="1"/>
    <n v="1"/>
    <n v="1"/>
    <n v="0.33300000000000002"/>
    <n v="0.5"/>
    <n v="1"/>
    <n v="1"/>
    <n v="1"/>
    <n v="1"/>
    <n v="0.25"/>
    <n v="1"/>
    <n v="1"/>
    <n v="0.5"/>
    <n v="0.33333333333333331"/>
    <n v="0.25"/>
    <n v="0"/>
    <n v="0"/>
    <n v="0"/>
    <n v="0"/>
    <n v="1"/>
    <n v="1"/>
    <n v="1"/>
    <n v="0"/>
    <n v="0"/>
    <n v="1"/>
    <n v="0.5"/>
    <n v="0"/>
    <n v="0.5"/>
    <n v="0.99999999999999989"/>
    <n v="0.66600000000000004"/>
    <n v="1"/>
    <n v="0.25"/>
    <n v="0"/>
    <n v="0"/>
  </r>
  <r>
    <n v="18"/>
    <x v="17"/>
    <x v="0"/>
    <n v="0.61977777777777776"/>
    <n v="0.60758333333333336"/>
    <n v="0.75694444444444442"/>
    <x v="11"/>
    <n v="0.53125"/>
    <n v="0.6875"/>
    <n v="0.52766666666666662"/>
    <n v="1"/>
    <n v="0.51388888888888884"/>
    <x v="9"/>
    <x v="0"/>
    <x v="2"/>
    <n v="0.83333333333333326"/>
    <n v="0.22916666666666666"/>
    <n v="1"/>
    <n v="1"/>
    <n v="0.5"/>
    <n v="0.25"/>
    <n v="0.33300000000000002"/>
    <n v="0.75"/>
    <n v="0.5"/>
    <n v="1"/>
    <n v="1"/>
    <n v="1"/>
    <n v="0.25"/>
    <n v="1"/>
    <n v="1"/>
    <n v="0.25"/>
    <n v="0.33333333333333331"/>
    <n v="0.25"/>
    <n v="0"/>
    <n v="0"/>
    <n v="0"/>
    <n v="0"/>
    <n v="1"/>
    <n v="0"/>
    <n v="1"/>
    <n v="1"/>
    <n v="1"/>
    <n v="1"/>
    <n v="0.5"/>
    <n v="0.25"/>
    <n v="0.5"/>
    <n v="1"/>
    <n v="1"/>
    <n v="0.66666666666666663"/>
    <n v="0.25"/>
    <n v="0"/>
    <n v="0"/>
  </r>
  <r>
    <n v="12"/>
    <x v="18"/>
    <x v="0"/>
    <n v="0.61538708333333336"/>
    <n v="0.59027777777777779"/>
    <n v="0.75694444444444442"/>
    <x v="16"/>
    <n v="0.59374999999999989"/>
    <n v="0.625"/>
    <n v="0.55555555555555558"/>
    <n v="1"/>
    <n v="0.51388888888888884"/>
    <x v="11"/>
    <x v="1"/>
    <x v="0"/>
    <n v="0.91666666666666652"/>
    <n v="0.27083333333333331"/>
    <n v="1"/>
    <n v="1"/>
    <n v="0.5"/>
    <n v="0"/>
    <n v="0.66666666666666696"/>
    <n v="1"/>
    <n v="0"/>
    <n v="1"/>
    <n v="1"/>
    <n v="1"/>
    <n v="0.25"/>
    <n v="1"/>
    <n v="1"/>
    <n v="0.25"/>
    <n v="0.33333333333333331"/>
    <n v="0.25"/>
    <n v="0.222222"/>
    <n v="0.111111"/>
    <n v="3.7037E-2"/>
    <n v="0"/>
    <n v="1"/>
    <n v="1"/>
    <n v="1"/>
    <n v="0"/>
    <n v="0"/>
    <n v="1"/>
    <n v="0.5"/>
    <n v="1"/>
    <n v="0.75"/>
    <n v="1"/>
    <n v="1"/>
    <n v="0.33333333333333331"/>
    <n v="0.75"/>
    <n v="0"/>
    <n v="0"/>
  </r>
  <r>
    <n v="6"/>
    <x v="19"/>
    <x v="1"/>
    <n v="0.60243055555555558"/>
    <n v="0.70138888888888884"/>
    <n v="0.60763888888888884"/>
    <x v="17"/>
    <n v="0.37847222222222221"/>
    <n v="0.875"/>
    <n v="0.52777777777777768"/>
    <n v="0.66666666666666663"/>
    <n v="0.54861111111111105"/>
    <x v="7"/>
    <x v="0"/>
    <x v="0"/>
    <n v="0.61111111111111116"/>
    <n v="0.14583333333333331"/>
    <n v="1"/>
    <n v="1"/>
    <n v="0.75"/>
    <n v="0.75"/>
    <n v="0.33333333333333298"/>
    <n v="0.75"/>
    <n v="0.5"/>
    <n v="1"/>
    <n v="1"/>
    <n v="0"/>
    <n v="0.25"/>
    <n v="1"/>
    <n v="0.875"/>
    <n v="0.25"/>
    <n v="0.66666666666666663"/>
    <n v="0.25"/>
    <n v="0"/>
    <n v="0"/>
    <n v="0"/>
    <n v="0"/>
    <n v="1"/>
    <n v="1"/>
    <n v="1"/>
    <n v="1"/>
    <n v="1"/>
    <n v="1"/>
    <n v="0.5"/>
    <n v="1"/>
    <n v="0.5"/>
    <n v="1"/>
    <n v="0.33333333333333331"/>
    <n v="0.33333333333333331"/>
    <n v="0.25"/>
    <n v="0"/>
    <n v="0"/>
  </r>
  <r>
    <n v="8"/>
    <x v="20"/>
    <x v="2"/>
    <n v="0.59982638888888884"/>
    <n v="0.58333333333333326"/>
    <n v="0.85416666666666663"/>
    <x v="15"/>
    <n v="0.57291666666666663"/>
    <n v="0.75"/>
    <n v="0.41666666666666663"/>
    <n v="1"/>
    <n v="0.70833333333333326"/>
    <x v="7"/>
    <x v="1"/>
    <x v="4"/>
    <n v="0.83333333333333326"/>
    <n v="0.3125"/>
    <n v="1"/>
    <n v="1"/>
    <n v="1"/>
    <n v="0"/>
    <n v="0"/>
    <n v="0.25"/>
    <n v="1"/>
    <n v="1"/>
    <n v="1"/>
    <n v="1"/>
    <n v="0.75"/>
    <n v="1"/>
    <n v="1"/>
    <n v="0.75"/>
    <n v="0"/>
    <n v="0.75"/>
    <n v="0"/>
    <n v="0"/>
    <n v="0"/>
    <n v="0"/>
    <n v="1"/>
    <n v="1"/>
    <n v="1"/>
    <n v="0"/>
    <n v="0"/>
    <n v="1"/>
    <n v="0.5"/>
    <n v="0"/>
    <n v="0.5"/>
    <n v="1"/>
    <n v="1"/>
    <n v="1"/>
    <n v="0.25"/>
    <n v="0"/>
    <n v="0"/>
  </r>
  <r>
    <n v="26"/>
    <x v="21"/>
    <x v="1"/>
    <n v="0.55642361111111105"/>
    <n v="0.88541666666666663"/>
    <n v="0.36458333333333331"/>
    <x v="7"/>
    <n v="0.33680555555555547"/>
    <n v="0.9375"/>
    <n v="0.83333333333333326"/>
    <n v="0.33333333333333331"/>
    <n v="0.39583333333333331"/>
    <x v="7"/>
    <x v="0"/>
    <x v="2"/>
    <n v="0.52777777777777768"/>
    <n v="0.14583333333333331"/>
    <n v="1"/>
    <n v="1"/>
    <n v="1"/>
    <n v="0.75"/>
    <n v="1"/>
    <n v="0.5"/>
    <n v="1"/>
    <n v="1"/>
    <n v="0"/>
    <n v="0"/>
    <n v="0.25"/>
    <n v="1"/>
    <n v="0.125"/>
    <n v="0.5"/>
    <n v="0"/>
    <n v="0.5"/>
    <n v="1"/>
    <n v="0"/>
    <n v="0"/>
    <n v="0"/>
    <n v="0"/>
    <n v="1"/>
    <n v="1"/>
    <n v="1"/>
    <n v="1"/>
    <n v="1"/>
    <n v="0.5"/>
    <n v="0.25"/>
    <n v="0.25"/>
    <n v="1"/>
    <n v="0.33333333333333331"/>
    <n v="0.33333333333333331"/>
    <n v="0.25"/>
    <n v="0"/>
    <n v="0"/>
  </r>
  <r>
    <n v="7"/>
    <x v="22"/>
    <x v="1"/>
    <n v="0.55063657407407407"/>
    <n v="0.80555555555555547"/>
    <n v="0.72569444444444442"/>
    <x v="18"/>
    <n v="0.20833333333333331"/>
    <n v="1"/>
    <n v="0.61111111111111094"/>
    <n v="1"/>
    <n v="0.4513888888888889"/>
    <x v="6"/>
    <x v="1"/>
    <x v="4"/>
    <n v="0.41666666666666663"/>
    <n v="0"/>
    <n v="1"/>
    <n v="1"/>
    <n v="1"/>
    <n v="1"/>
    <n v="0.33333333333333298"/>
    <n v="0.5"/>
    <n v="1"/>
    <n v="1"/>
    <n v="1"/>
    <n v="1"/>
    <n v="0.5"/>
    <n v="1"/>
    <n v="0.375"/>
    <n v="0.25"/>
    <n v="0.33333333333333331"/>
    <n v="0.25"/>
    <n v="1"/>
    <n v="0"/>
    <n v="0.33333333333333331"/>
    <n v="0"/>
    <n v="1"/>
    <n v="1"/>
    <n v="1"/>
    <n v="0"/>
    <n v="0"/>
    <n v="1"/>
    <n v="0.5"/>
    <n v="0"/>
    <n v="0.25"/>
    <n v="1"/>
    <n v="0"/>
    <n v="0"/>
    <n v="0"/>
    <n v="0"/>
    <n v="0"/>
  </r>
  <r>
    <n v="9"/>
    <x v="23"/>
    <x v="2"/>
    <n v="0.49652777777777779"/>
    <n v="0.52777777777777779"/>
    <n v="0.57986111111111105"/>
    <x v="19"/>
    <n v="0.37847222222222221"/>
    <n v="0.75"/>
    <n v="0.30555555555555564"/>
    <n v="0.66666666666666663"/>
    <n v="0.49305555555555552"/>
    <x v="7"/>
    <x v="3"/>
    <x v="4"/>
    <n v="0.52777777777777768"/>
    <n v="0.22916666666666674"/>
    <n v="1"/>
    <n v="1"/>
    <n v="0.5"/>
    <n v="0.5"/>
    <n v="0.66666666666666696"/>
    <n v="0.25"/>
    <n v="0"/>
    <n v="1"/>
    <n v="0"/>
    <n v="1"/>
    <n v="0.25"/>
    <n v="1"/>
    <n v="0.875"/>
    <n v="0.25"/>
    <n v="0.33333333333333331"/>
    <n v="0.25"/>
    <n v="0"/>
    <n v="0"/>
    <n v="0"/>
    <n v="0"/>
    <n v="1"/>
    <n v="1"/>
    <n v="1"/>
    <n v="1"/>
    <n v="0"/>
    <n v="1"/>
    <n v="0.5"/>
    <n v="0"/>
    <n v="0.25"/>
    <n v="1"/>
    <n v="0.33333333333333331"/>
    <n v="0.66666666666666696"/>
    <n v="0.25"/>
    <n v="0"/>
    <n v="0"/>
  </r>
  <r>
    <n v="1"/>
    <x v="24"/>
    <x v="2"/>
    <n v="0.49243055555555548"/>
    <n v="0.54166666666666663"/>
    <n v="0.53125"/>
    <x v="15"/>
    <n v="0.50791666666666668"/>
    <n v="0.75"/>
    <n v="0.33333333333333331"/>
    <n v="0.66666666666666663"/>
    <n v="0.39583333333333331"/>
    <x v="7"/>
    <x v="1"/>
    <x v="4"/>
    <n v="0.72333333333333338"/>
    <n v="0.29249999999999998"/>
    <n v="1"/>
    <n v="1"/>
    <n v="0.75"/>
    <n v="0.25"/>
    <n v="0"/>
    <n v="0"/>
    <n v="1"/>
    <n v="1"/>
    <n v="0"/>
    <n v="1"/>
    <n v="0.25"/>
    <n v="1"/>
    <n v="0.625"/>
    <n v="0.5"/>
    <n v="0"/>
    <n v="0"/>
    <n v="0"/>
    <n v="0"/>
    <n v="0"/>
    <n v="0"/>
    <n v="1"/>
    <n v="1"/>
    <n v="1"/>
    <n v="0"/>
    <n v="0"/>
    <n v="1"/>
    <n v="0.5"/>
    <n v="0"/>
    <n v="0.5"/>
    <n v="1"/>
    <n v="0.67"/>
    <n v="0.67"/>
    <n v="0.5"/>
    <n v="0"/>
    <n v="0"/>
  </r>
  <r>
    <n v="24"/>
    <x v="25"/>
    <x v="1"/>
    <n v="0.44357638888888884"/>
    <n v="0.54166666666666663"/>
    <n v="0.59027777777777768"/>
    <x v="15"/>
    <n v="0.25347222222222221"/>
    <n v="0.75"/>
    <n v="0.33333333333333331"/>
    <n v="0.66666666666666663"/>
    <n v="0.51388888888888884"/>
    <x v="7"/>
    <x v="1"/>
    <x v="4"/>
    <n v="0.3611111111111111"/>
    <n v="0.14583333333333331"/>
    <n v="1"/>
    <n v="1"/>
    <n v="1"/>
    <n v="0"/>
    <n v="0"/>
    <n v="0.5"/>
    <n v="0.5"/>
    <n v="1"/>
    <n v="0"/>
    <n v="1"/>
    <n v="0.75"/>
    <n v="1"/>
    <n v="0.5"/>
    <n v="0.25"/>
    <n v="0.33333333333333331"/>
    <n v="0.25"/>
    <n v="0"/>
    <n v="0"/>
    <n v="0"/>
    <n v="0"/>
    <n v="1"/>
    <n v="1"/>
    <n v="1"/>
    <n v="0"/>
    <n v="0"/>
    <n v="1"/>
    <n v="0.5"/>
    <n v="0"/>
    <n v="0.25"/>
    <n v="0.5"/>
    <n v="0.33333333333333331"/>
    <n v="0.33333333333333331"/>
    <n v="0.25"/>
    <n v="0"/>
    <n v="0"/>
  </r>
  <r>
    <n v="17"/>
    <x v="26"/>
    <x v="0"/>
    <n v="0.43055555555555552"/>
    <n v="0.45833333333333331"/>
    <n v="0.45486111111111105"/>
    <x v="20"/>
    <n v="0.47569444444444442"/>
    <n v="0.75"/>
    <n v="0.16666666666666666"/>
    <n v="0.33333333333333331"/>
    <n v="0.57638888888888884"/>
    <x v="9"/>
    <x v="1"/>
    <x v="4"/>
    <n v="0.72222222222222221"/>
    <n v="0.22916666666666666"/>
    <n v="1"/>
    <n v="1"/>
    <n v="1"/>
    <n v="0"/>
    <n v="0"/>
    <n v="0"/>
    <n v="0.5"/>
    <n v="1"/>
    <n v="0"/>
    <n v="0"/>
    <n v="0.25"/>
    <n v="1"/>
    <n v="0.875"/>
    <n v="0.75"/>
    <n v="0.33333333333333331"/>
    <n v="0.25"/>
    <n v="0"/>
    <n v="0"/>
    <n v="0"/>
    <n v="0"/>
    <n v="0"/>
    <n v="1"/>
    <n v="1"/>
    <n v="0"/>
    <n v="0"/>
    <n v="1"/>
    <n v="0.5"/>
    <n v="0"/>
    <n v="0.5"/>
    <n v="1"/>
    <n v="0.66666666666666663"/>
    <n v="0.66666666666666663"/>
    <n v="0.25"/>
    <n v="0"/>
    <n v="0"/>
  </r>
  <r>
    <m/>
    <x v="27"/>
    <x v="3"/>
    <m/>
    <m/>
    <m/>
    <x v="21"/>
    <m/>
    <m/>
    <m/>
    <m/>
    <m/>
    <x v="12"/>
    <x v="4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x v="0"/>
    <x v="0"/>
    <x v="0"/>
    <n v="0.59810243055555556"/>
    <n v="0.61749999999999994"/>
    <n v="0.77374999999999994"/>
    <n v="0.65740555555555547"/>
    <n v="0.34375416666666669"/>
    <x v="0"/>
    <x v="0"/>
    <n v="0.66666666666666663"/>
    <n v="0.88083333333333325"/>
    <n v="0.72221666666666662"/>
    <n v="0.66666666666666663"/>
    <n v="0.58333333333333337"/>
    <n v="0.54167500000000002"/>
    <n v="0.14583333333333337"/>
    <n v="1"/>
    <n v="1"/>
    <n v="0.75"/>
    <n v="0.75"/>
    <n v="0.33"/>
    <n v="0.25"/>
    <n v="0.5"/>
    <n v="1"/>
    <n v="0"/>
    <n v="1"/>
    <n v="1"/>
    <n v="1"/>
    <n v="0.875"/>
    <n v="1"/>
    <n v="0.66"/>
    <n v="0.75"/>
    <n v="0"/>
    <n v="1"/>
    <n v="0.33329999999999999"/>
    <n v="1"/>
    <n v="1"/>
    <n v="1"/>
    <n v="1"/>
    <n v="1"/>
    <n v="0"/>
    <n v="1"/>
    <n v="0.5"/>
    <n v="0.25"/>
    <n v="0.5"/>
    <n v="0.99999999999999989"/>
    <n v="0.66669999999999996"/>
    <n v="0"/>
    <n v="0.33333333333333343"/>
    <n v="0.25"/>
    <n v="0"/>
    <n v="0"/>
  </r>
  <r>
    <x v="0"/>
    <x v="1"/>
    <x v="0"/>
    <n v="0.55982847222222221"/>
    <n v="0.64583333333333326"/>
    <n v="0.8191666666666666"/>
    <n v="0.38888888888888884"/>
    <n v="0.38542500000000002"/>
    <x v="0"/>
    <x v="1"/>
    <n v="1"/>
    <n v="0.63833333333333331"/>
    <n v="0.33333333333333331"/>
    <n v="0.33333333333333331"/>
    <n v="0.5"/>
    <n v="0.54167500000000002"/>
    <n v="0.22917499999999999"/>
    <n v="1"/>
    <n v="1"/>
    <n v="1"/>
    <n v="0.5"/>
    <n v="0"/>
    <n v="0.25"/>
    <n v="1"/>
    <n v="1"/>
    <n v="1"/>
    <n v="1"/>
    <n v="0.5"/>
    <n v="1"/>
    <n v="1"/>
    <n v="0.5"/>
    <n v="0.33"/>
    <n v="0.5"/>
    <n v="0"/>
    <n v="0"/>
    <n v="0"/>
    <n v="0"/>
    <n v="1"/>
    <n v="1"/>
    <n v="1"/>
    <n v="0"/>
    <n v="0"/>
    <n v="1"/>
    <n v="0.5"/>
    <n v="0"/>
    <n v="0.5"/>
    <n v="1.0000000000000002"/>
    <n v="0.66669999999999996"/>
    <n v="0"/>
    <n v="0.66669999999999996"/>
    <n v="0.25"/>
    <n v="0"/>
    <n v="0"/>
  </r>
  <r>
    <x v="0"/>
    <x v="2"/>
    <x v="0"/>
    <n v="0.46000208333333326"/>
    <n v="0.5"/>
    <n v="0.62124999999999997"/>
    <n v="0.33333333333333331"/>
    <n v="0.38542500000000002"/>
    <x v="1"/>
    <x v="2"/>
    <n v="0.66666666666666663"/>
    <n v="0.57583333333333331"/>
    <n v="0.16666666666666669"/>
    <n v="0.33333333333333331"/>
    <n v="0.5"/>
    <n v="0.54167500000000002"/>
    <n v="0.22917499999999999"/>
    <n v="1"/>
    <n v="1"/>
    <n v="1"/>
    <n v="0"/>
    <n v="0"/>
    <n v="0.25"/>
    <n v="0.5"/>
    <n v="1"/>
    <n v="0"/>
    <n v="1"/>
    <n v="0.75"/>
    <n v="1"/>
    <n v="0.875"/>
    <n v="0.25"/>
    <n v="0.33"/>
    <n v="0.25"/>
    <n v="0"/>
    <n v="0"/>
    <n v="0"/>
    <n v="0"/>
    <n v="0"/>
    <n v="1.0000000000000002"/>
    <n v="1"/>
    <n v="0"/>
    <n v="0"/>
    <n v="1"/>
    <n v="0.5"/>
    <n v="0"/>
    <n v="0.5"/>
    <n v="1"/>
    <n v="0.66669999999999996"/>
    <n v="0"/>
    <n v="0.66669999999999996"/>
    <n v="0.25"/>
    <n v="0"/>
    <n v="0"/>
  </r>
  <r>
    <x v="0"/>
    <x v="3"/>
    <x v="0"/>
    <n v="0.63310347222222219"/>
    <n v="0.70541666666666669"/>
    <n v="0.61749999999999994"/>
    <n v="0.82407222222222209"/>
    <n v="0.38542500000000002"/>
    <x v="2"/>
    <x v="3"/>
    <n v="0.66666666666666663"/>
    <n v="0.56833333333333336"/>
    <n v="0.88888333333333325"/>
    <n v="1"/>
    <n v="0.58333333333333337"/>
    <n v="0.54167500000000002"/>
    <n v="0.22917499999999999"/>
    <n v="1"/>
    <n v="1"/>
    <n v="0.5"/>
    <n v="0.25"/>
    <n v="0.67"/>
    <n v="0.5"/>
    <n v="1"/>
    <n v="1"/>
    <n v="0"/>
    <n v="1"/>
    <n v="0.25"/>
    <n v="1"/>
    <n v="1"/>
    <n v="0.25"/>
    <n v="0.66"/>
    <n v="0.25"/>
    <n v="1"/>
    <n v="1"/>
    <n v="0.33329999999999999"/>
    <n v="1"/>
    <n v="1"/>
    <n v="1"/>
    <n v="1.0000000000000002"/>
    <n v="1"/>
    <n v="1"/>
    <n v="1"/>
    <n v="0.5"/>
    <n v="0.25"/>
    <n v="0.5"/>
    <n v="0.99999999999999989"/>
    <n v="0.66669999999999996"/>
    <n v="0"/>
    <n v="0.66669999999999996"/>
    <n v="0.25"/>
    <n v="0"/>
    <n v="0"/>
  </r>
  <r>
    <x v="0"/>
    <x v="4"/>
    <x v="0"/>
    <n v="0.63730381944444447"/>
    <n v="0.80208333333333326"/>
    <n v="0.77374999999999994"/>
    <n v="0.62962777777777768"/>
    <n v="0.34375416666666669"/>
    <x v="2"/>
    <x v="4"/>
    <n v="1"/>
    <n v="0.54749999999999999"/>
    <n v="0.22221666666666667"/>
    <n v="1"/>
    <n v="0.66666666666666663"/>
    <n v="0.54167500000000002"/>
    <n v="0.14583333333333337"/>
    <n v="1"/>
    <n v="1"/>
    <n v="0.75"/>
    <n v="0"/>
    <n v="1"/>
    <n v="0.75"/>
    <n v="1"/>
    <n v="1"/>
    <n v="1"/>
    <n v="1"/>
    <n v="0.5"/>
    <n v="1"/>
    <n v="0.625"/>
    <n v="0.25"/>
    <n v="0.66"/>
    <n v="0.25"/>
    <n v="0.28570000000000001"/>
    <n v="0"/>
    <n v="4.7600000000000003E-2"/>
    <n v="0"/>
    <n v="0"/>
    <n v="1"/>
    <n v="1.0000000000000002"/>
    <n v="1"/>
    <n v="1.0000000000000002"/>
    <n v="1"/>
    <n v="0.5"/>
    <n v="0.5"/>
    <n v="0.5"/>
    <n v="0.99999999999999989"/>
    <n v="0.66669999999999996"/>
    <n v="0"/>
    <n v="0.33333333333333343"/>
    <n v="0.25"/>
    <n v="0"/>
    <n v="0"/>
  </r>
  <r>
    <x v="0"/>
    <x v="5"/>
    <x v="0"/>
    <n v="0.66167881944444429"/>
    <n v="0.72916666666666663"/>
    <n v="0.86083333333333334"/>
    <n v="0.62962777777777768"/>
    <n v="0.42708750000000001"/>
    <x v="0"/>
    <x v="5"/>
    <n v="1"/>
    <n v="0.72166666666666668"/>
    <n v="0.55554999999999999"/>
    <n v="0.33333333333333331"/>
    <n v="1"/>
    <n v="0.5625"/>
    <n v="0.29167500000000002"/>
    <n v="1"/>
    <n v="1"/>
    <n v="1"/>
    <n v="0.5"/>
    <n v="1"/>
    <n v="0.25"/>
    <n v="0.5"/>
    <n v="1.0000000000000002"/>
    <n v="1"/>
    <n v="1"/>
    <n v="0.75"/>
    <n v="1"/>
    <n v="0.75"/>
    <n v="0.75"/>
    <n v="0.33"/>
    <n v="0.75"/>
    <n v="1"/>
    <n v="0"/>
    <n v="0.33329999999999999"/>
    <n v="0"/>
    <n v="1"/>
    <n v="1"/>
    <n v="1"/>
    <n v="0"/>
    <n v="0"/>
    <n v="1.0000000000000002"/>
    <n v="1"/>
    <n v="1"/>
    <n v="0.25"/>
    <n v="1"/>
    <n v="1.0000000000000002"/>
    <n v="0"/>
    <n v="0.66669999999999996"/>
    <n v="0.5"/>
    <n v="0"/>
    <n v="0"/>
  </r>
  <r>
    <x v="0"/>
    <x v="6"/>
    <x v="0"/>
    <n v="0.57130659722222221"/>
    <n v="0.59666666666666668"/>
    <n v="0.8191666666666666"/>
    <n v="0.44230555555555551"/>
    <n v="0.42708750000000001"/>
    <x v="1"/>
    <x v="6"/>
    <n v="1"/>
    <n v="0.63833333333333331"/>
    <n v="0.41025"/>
    <n v="0.33333333333333337"/>
    <n v="0.58333333333333337"/>
    <n v="0.625"/>
    <n v="0.22917499999999999"/>
    <n v="1"/>
    <n v="1"/>
    <n v="0.5"/>
    <n v="0.5"/>
    <n v="0.33"/>
    <n v="0.5"/>
    <n v="0.5"/>
    <n v="1"/>
    <n v="1"/>
    <n v="1"/>
    <n v="0.5"/>
    <n v="1"/>
    <n v="1"/>
    <n v="0.75"/>
    <n v="0.33"/>
    <n v="0.25"/>
    <n v="0.3846"/>
    <n v="7.6899999999999996E-2"/>
    <n v="0"/>
    <n v="0"/>
    <n v="1"/>
    <n v="1"/>
    <n v="1.0000000000000002"/>
    <n v="0"/>
    <n v="0"/>
    <n v="1"/>
    <n v="0.5"/>
    <n v="0.25"/>
    <n v="0.5"/>
    <n v="0.99999999999999989"/>
    <n v="1"/>
    <n v="0"/>
    <n v="0.66669999999999996"/>
    <n v="0.25"/>
    <n v="0"/>
    <n v="0"/>
  </r>
  <r>
    <x v="0"/>
    <x v="7"/>
    <x v="0"/>
    <n v="0.7939190972222222"/>
    <n v="0.95833333333333326"/>
    <n v="0.90916666666666668"/>
    <n v="0.76983888888888885"/>
    <n v="0.53833749999999991"/>
    <x v="3"/>
    <x v="4"/>
    <n v="1"/>
    <n v="0.81833333333333325"/>
    <n v="0.4761833333333334"/>
    <n v="1"/>
    <n v="0.83333333333333326"/>
    <n v="0.72250000000000003"/>
    <n v="0.35417499999999991"/>
    <n v="1"/>
    <n v="1"/>
    <n v="1"/>
    <n v="1"/>
    <n v="1"/>
    <n v="0.75"/>
    <n v="1"/>
    <n v="1"/>
    <n v="1"/>
    <n v="1"/>
    <n v="0.75"/>
    <n v="1"/>
    <n v="1"/>
    <n v="0.75"/>
    <n v="0.66"/>
    <n v="0.75"/>
    <n v="0.57140000000000002"/>
    <n v="0.1429"/>
    <n v="0.14280000000000001"/>
    <n v="0"/>
    <n v="1"/>
    <n v="1.0000000000000004"/>
    <n v="1"/>
    <n v="1"/>
    <n v="1.0000000000000004"/>
    <n v="1"/>
    <n v="1"/>
    <n v="0.5"/>
    <n v="0.75"/>
    <n v="1"/>
    <n v="1"/>
    <n v="0.14000000000000001"/>
    <n v="0.66669999999999996"/>
    <n v="0.74999999999999967"/>
    <n v="0"/>
    <n v="0"/>
  </r>
  <r>
    <x v="0"/>
    <x v="8"/>
    <x v="0"/>
    <n v="0.51041770833333333"/>
    <n v="0.46875"/>
    <n v="0.67708333333333326"/>
    <n v="0.58333333333333326"/>
    <n v="0.31250416666666669"/>
    <x v="2"/>
    <x v="2"/>
    <n v="0.66666666666666663"/>
    <n v="0.68749999999999989"/>
    <n v="0.16666666666666666"/>
    <n v="1"/>
    <n v="0.58333333333333337"/>
    <n v="0.47917500000000002"/>
    <n v="0.14583333333333337"/>
    <n v="1"/>
    <n v="1"/>
    <n v="0.75"/>
    <n v="0"/>
    <n v="0"/>
    <n v="0.25"/>
    <n v="0.5"/>
    <n v="1"/>
    <n v="0"/>
    <n v="1"/>
    <n v="0.5"/>
    <n v="1"/>
    <n v="0.875"/>
    <n v="0.5"/>
    <n v="1"/>
    <n v="0.25"/>
    <n v="0"/>
    <n v="0"/>
    <n v="0"/>
    <n v="0"/>
    <n v="0"/>
    <n v="1"/>
    <n v="1"/>
    <n v="1"/>
    <n v="1"/>
    <n v="1"/>
    <n v="0.5"/>
    <n v="0.25"/>
    <n v="0.25"/>
    <n v="1"/>
    <n v="0.66669999999999996"/>
    <n v="0"/>
    <n v="0.33333333333333343"/>
    <n v="0.25"/>
    <n v="0"/>
    <n v="0"/>
  </r>
  <r>
    <x v="0"/>
    <x v="9"/>
    <x v="1"/>
    <n v="0.71253576388888895"/>
    <n v="0.86458333333333326"/>
    <n v="0.88833333333333342"/>
    <n v="0.72222222222222221"/>
    <n v="0.37500416666666669"/>
    <x v="4"/>
    <x v="4"/>
    <n v="1"/>
    <n v="0.77666666666666673"/>
    <n v="0.33333333333333337"/>
    <n v="1"/>
    <n v="0.83333333333333337"/>
    <n v="0.54167500000000002"/>
    <n v="0.20833333333333337"/>
    <n v="1"/>
    <n v="1"/>
    <n v="0.75"/>
    <n v="0.5"/>
    <n v="1"/>
    <n v="0.75"/>
    <n v="1"/>
    <n v="1.0000000000000002"/>
    <n v="1"/>
    <n v="1"/>
    <n v="1"/>
    <n v="1"/>
    <n v="1"/>
    <n v="0.5"/>
    <n v="0.66"/>
    <n v="0.5"/>
    <n v="0"/>
    <n v="0"/>
    <n v="0"/>
    <n v="0"/>
    <n v="1"/>
    <n v="1.0000000000000002"/>
    <n v="1"/>
    <n v="1"/>
    <n v="1"/>
    <n v="1.0000000000000002"/>
    <n v="1"/>
    <n v="0.5"/>
    <n v="0.5"/>
    <n v="1.0000000000000002"/>
    <n v="0.66669999999999996"/>
    <n v="0"/>
    <n v="0.33333333333333343"/>
    <n v="0.50000000000000011"/>
    <n v="0"/>
    <n v="0"/>
  </r>
  <r>
    <x v="0"/>
    <x v="10"/>
    <x v="1"/>
    <n v="0.50909305555555551"/>
    <n v="0.53125"/>
    <n v="0.7879166666666666"/>
    <n v="0.4567888888888888"/>
    <n v="0.26041666666666669"/>
    <x v="5"/>
    <x v="7"/>
    <n v="1"/>
    <n v="0.57583333333333331"/>
    <n v="0.53703333333333325"/>
    <n v="0.33333333333333331"/>
    <n v="0.5"/>
    <n v="0.45833333333333337"/>
    <n v="6.25E-2"/>
    <n v="1"/>
    <n v="1"/>
    <n v="0.25"/>
    <n v="0"/>
    <n v="0"/>
    <n v="0.5"/>
    <n v="1"/>
    <n v="1"/>
    <n v="1"/>
    <n v="1"/>
    <n v="0.75"/>
    <n v="1"/>
    <n v="0.375"/>
    <n v="0.5"/>
    <n v="0.33"/>
    <n v="0.5"/>
    <n v="1"/>
    <n v="0"/>
    <n v="0.22220000000000001"/>
    <n v="0"/>
    <n v="1"/>
    <n v="1.0000000000000002"/>
    <n v="1"/>
    <n v="0"/>
    <n v="0"/>
    <n v="1"/>
    <n v="0.5"/>
    <n v="0"/>
    <n v="0.5"/>
    <n v="0.99999999999999989"/>
    <n v="0.33333333333333343"/>
    <n v="0"/>
    <n v="0"/>
    <n v="0.25"/>
    <n v="0"/>
    <n v="0"/>
  </r>
  <r>
    <x v="0"/>
    <x v="11"/>
    <x v="1"/>
    <n v="0.76859999999999995"/>
    <n v="0.875"/>
    <n v="0.89500000000000002"/>
    <n v="0.64814999999999989"/>
    <n v="0.65625"/>
    <x v="1"/>
    <x v="8"/>
    <n v="1"/>
    <n v="0.79"/>
    <n v="0.6944499999999999"/>
    <n v="0.66666666666666663"/>
    <n v="0.58333333333333337"/>
    <n v="0.8125"/>
    <n v="0.5"/>
    <n v="1"/>
    <n v="1"/>
    <n v="1"/>
    <n v="0"/>
    <n v="1"/>
    <n v="1"/>
    <n v="1"/>
    <n v="1"/>
    <n v="1"/>
    <n v="1"/>
    <n v="0.75"/>
    <n v="1"/>
    <n v="1"/>
    <n v="0.5"/>
    <n v="0.9900000000000001"/>
    <n v="0.5"/>
    <n v="1"/>
    <n v="0"/>
    <n v="0.16669999999999999"/>
    <n v="1"/>
    <n v="1"/>
    <n v="0.99999999999999989"/>
    <n v="1"/>
    <n v="1"/>
    <n v="0"/>
    <n v="1.0000000000000002"/>
    <n v="0.5"/>
    <n v="0.25"/>
    <n v="1"/>
    <n v="0.99999999999999978"/>
    <n v="1"/>
    <n v="0.25"/>
    <n v="1.0000000000000002"/>
    <n v="0.99999999999999989"/>
    <n v="0"/>
    <n v="0"/>
  </r>
  <r>
    <x v="0"/>
    <x v="12"/>
    <x v="1"/>
    <n v="0.65089131944444445"/>
    <n v="0.90333333333333332"/>
    <n v="0.45486111111111105"/>
    <n v="0.87036666666666651"/>
    <n v="0.37500416666666664"/>
    <x v="3"/>
    <x v="9"/>
    <n v="0.33333333333333331"/>
    <n v="0.57638888888888884"/>
    <n v="0.94443333333333324"/>
    <n v="0.66666666666666663"/>
    <n v="1"/>
    <n v="0.39583333333333337"/>
    <n v="0.35417499999999991"/>
    <n v="1"/>
    <n v="1"/>
    <n v="1"/>
    <n v="1"/>
    <n v="0.67"/>
    <n v="0.75"/>
    <n v="1"/>
    <n v="1"/>
    <n v="0"/>
    <n v="0"/>
    <n v="0.5"/>
    <n v="1"/>
    <n v="0.875"/>
    <n v="0.5"/>
    <n v="0.33333333333333331"/>
    <n v="0.25"/>
    <n v="1"/>
    <n v="1"/>
    <n v="0.66659999999999997"/>
    <n v="1"/>
    <n v="1"/>
    <n v="1"/>
    <n v="1"/>
    <n v="1"/>
    <n v="0"/>
    <n v="1"/>
    <n v="1"/>
    <n v="1"/>
    <n v="0.75"/>
    <n v="0.5"/>
    <n v="0.33333333333333343"/>
    <n v="0"/>
    <n v="0.66669999999999996"/>
    <n v="0.74999999999999967"/>
    <n v="0"/>
    <n v="0"/>
  </r>
  <r>
    <x v="0"/>
    <x v="13"/>
    <x v="1"/>
    <n v="0.37326388888888884"/>
    <n v="0.67708333333333326"/>
    <n v="0.36458333333333331"/>
    <n v="0.38888888888888884"/>
    <n v="6.25E-2"/>
    <x v="6"/>
    <x v="1"/>
    <n v="0.33333333333333331"/>
    <n v="0.39583333333333331"/>
    <n v="0.33333333333333331"/>
    <n v="0.33333333333333331"/>
    <n v="0.5"/>
    <n v="0.125"/>
    <n v="0"/>
    <n v="1"/>
    <n v="1"/>
    <n v="1"/>
    <n v="0.75"/>
    <n v="0"/>
    <n v="0.25"/>
    <n v="1"/>
    <n v="1"/>
    <n v="0"/>
    <n v="0"/>
    <n v="0.25"/>
    <n v="1"/>
    <n v="0.375"/>
    <n v="0.5"/>
    <n v="0"/>
    <n v="0.25"/>
    <n v="1"/>
    <n v="0"/>
    <n v="0"/>
    <n v="0"/>
    <n v="0"/>
    <n v="1"/>
    <n v="1"/>
    <n v="0"/>
    <n v="0"/>
    <n v="1"/>
    <n v="0.5"/>
    <n v="0"/>
    <n v="0.5"/>
    <n v="0"/>
    <n v="0"/>
    <n v="0"/>
    <n v="0"/>
    <n v="0"/>
    <n v="0"/>
    <n v="0"/>
  </r>
  <r>
    <x v="0"/>
    <x v="14"/>
    <x v="1"/>
    <n v="0.62138888888888888"/>
    <n v="0.63541666666666663"/>
    <n v="0.87791666666666668"/>
    <n v="0.55555555555555558"/>
    <n v="0.41666666666666669"/>
    <x v="6"/>
    <x v="10"/>
    <n v="1"/>
    <n v="0.75583333333333325"/>
    <n v="0.33333333333333331"/>
    <n v="0.33333333333333331"/>
    <n v="1"/>
    <n v="0.625"/>
    <n v="0.20833333333333337"/>
    <n v="1"/>
    <n v="1"/>
    <n v="1"/>
    <n v="0.75"/>
    <n v="0"/>
    <n v="0.5"/>
    <n v="0.5"/>
    <n v="1"/>
    <n v="1"/>
    <n v="1"/>
    <n v="0.75"/>
    <n v="1"/>
    <n v="0.625"/>
    <n v="0.75"/>
    <n v="0.66"/>
    <n v="0.75"/>
    <n v="0"/>
    <n v="0"/>
    <n v="0"/>
    <n v="0"/>
    <n v="1"/>
    <n v="1"/>
    <n v="1"/>
    <n v="0"/>
    <n v="0"/>
    <n v="1.0000000000000002"/>
    <n v="1"/>
    <n v="1"/>
    <n v="0.5"/>
    <n v="1"/>
    <n v="1.0000000000000002"/>
    <n v="0"/>
    <n v="0.33333333333333343"/>
    <n v="0.50000000000000011"/>
    <n v="0"/>
    <n v="0"/>
  </r>
  <r>
    <x v="0"/>
    <x v="15"/>
    <x v="1"/>
    <n v="0.55729166666666663"/>
    <n v="0.46875"/>
    <n v="0.8125"/>
    <n v="0.5"/>
    <n v="0.44791666666666669"/>
    <x v="2"/>
    <x v="2"/>
    <n v="1"/>
    <n v="0.625"/>
    <n v="0.33333333333333337"/>
    <n v="0.66666666666666663"/>
    <n v="0.5"/>
    <n v="0.75"/>
    <n v="0.14583333333333337"/>
    <n v="1"/>
    <n v="1"/>
    <n v="0.5"/>
    <n v="0.25"/>
    <n v="0"/>
    <n v="0.25"/>
    <n v="0.5"/>
    <n v="1"/>
    <n v="1"/>
    <n v="1"/>
    <n v="0.5"/>
    <n v="1"/>
    <n v="0.75"/>
    <n v="0.25"/>
    <n v="1"/>
    <n v="0.25"/>
    <n v="0"/>
    <n v="0"/>
    <n v="0"/>
    <n v="0"/>
    <n v="1"/>
    <n v="1.0000000000000002"/>
    <n v="1"/>
    <n v="1"/>
    <n v="0"/>
    <n v="1"/>
    <n v="0.5"/>
    <n v="0"/>
    <n v="1"/>
    <n v="1"/>
    <n v="1.0000000000000002"/>
    <n v="0"/>
    <n v="0.33333333333333343"/>
    <n v="0.25"/>
    <n v="0"/>
    <n v="0"/>
  </r>
  <r>
    <x v="0"/>
    <x v="16"/>
    <x v="1"/>
    <n v="0.27857638888888892"/>
    <n v="0.29166666666666669"/>
    <n v="0.30874999999999997"/>
    <n v="0.30555555555555558"/>
    <n v="0.20833333333333337"/>
    <x v="7"/>
    <x v="11"/>
    <n v="0"/>
    <n v="0.61749999999999994"/>
    <n v="0"/>
    <n v="0.33333333333333331"/>
    <n v="0.58333333333333337"/>
    <n v="0.27083333333333337"/>
    <n v="0.14583333333333337"/>
    <n v="1"/>
    <n v="1"/>
    <n v="0"/>
    <n v="0"/>
    <n v="0"/>
    <n v="0.25"/>
    <n v="0"/>
    <n v="0"/>
    <n v="0"/>
    <n v="0"/>
    <n v="0.75"/>
    <n v="1"/>
    <n v="0.125"/>
    <n v="0.75"/>
    <n v="0.33"/>
    <n v="0.75"/>
    <n v="0"/>
    <n v="0"/>
    <n v="0"/>
    <n v="0"/>
    <n v="0"/>
    <n v="0"/>
    <n v="1"/>
    <n v="0"/>
    <n v="0"/>
    <n v="1"/>
    <n v="0.5"/>
    <n v="0.25"/>
    <n v="0.25"/>
    <n v="0.5"/>
    <n v="0.33333333333333343"/>
    <n v="0"/>
    <n v="0.33333333333333343"/>
    <n v="0.25"/>
    <n v="0"/>
    <n v="0"/>
  </r>
  <r>
    <x v="0"/>
    <x v="17"/>
    <x v="1"/>
    <n v="0.5530229166666667"/>
    <n v="0.65333333333333332"/>
    <n v="0.64208333333333334"/>
    <n v="0.5"/>
    <n v="0.41667500000000002"/>
    <x v="1"/>
    <x v="12"/>
    <n v="0.66666666666666674"/>
    <n v="0.61749999999999994"/>
    <n v="0.33333333333333331"/>
    <n v="1"/>
    <n v="0.16666666666666666"/>
    <n v="0.60417500000000002"/>
    <n v="0.22917499999999999"/>
    <n v="1"/>
    <n v="1"/>
    <n v="0.5"/>
    <n v="0.5"/>
    <n v="0.67"/>
    <n v="0.5"/>
    <n v="0.5"/>
    <n v="1.0000000000000002"/>
    <n v="0"/>
    <n v="1"/>
    <n v="0.5"/>
    <n v="1"/>
    <n v="0.625"/>
    <n v="0.5"/>
    <n v="0.33"/>
    <n v="0.75"/>
    <n v="0"/>
    <n v="0"/>
    <n v="0"/>
    <n v="0"/>
    <n v="1"/>
    <n v="1"/>
    <n v="1"/>
    <n v="1"/>
    <n v="1"/>
    <n v="0"/>
    <n v="0.5"/>
    <n v="0"/>
    <n v="0.75"/>
    <n v="1"/>
    <n v="0.66669999999999996"/>
    <n v="0"/>
    <n v="0.66669999999999996"/>
    <n v="0.25"/>
    <n v="0"/>
    <n v="0"/>
  </r>
  <r>
    <x v="0"/>
    <x v="18"/>
    <x v="1"/>
    <n v="0.72047604166666668"/>
    <n v="0.79166666666666663"/>
    <n v="0.87125000000000008"/>
    <n v="0.69814999999999994"/>
    <n v="0.52083749999999995"/>
    <x v="3"/>
    <x v="5"/>
    <n v="1"/>
    <n v="0.74250000000000005"/>
    <n v="0.51111666666666666"/>
    <n v="1"/>
    <n v="0.58333333333333337"/>
    <n v="0.6875"/>
    <n v="0.35417499999999991"/>
    <n v="1"/>
    <n v="1"/>
    <n v="1"/>
    <n v="1"/>
    <n v="0"/>
    <n v="0.75"/>
    <n v="1"/>
    <n v="1"/>
    <n v="1"/>
    <n v="1"/>
    <n v="1"/>
    <n v="1"/>
    <n v="0.625"/>
    <n v="0.75"/>
    <n v="0.33"/>
    <n v="0.75"/>
    <n v="0.4"/>
    <n v="0.2"/>
    <n v="6.6699999999999995E-2"/>
    <n v="0.4"/>
    <n v="1"/>
    <n v="1"/>
    <n v="1"/>
    <n v="1"/>
    <n v="1"/>
    <n v="1"/>
    <n v="0.5"/>
    <n v="0.25"/>
    <n v="0.75"/>
    <n v="1.0000000000000002"/>
    <n v="1"/>
    <n v="0"/>
    <n v="0.66669999999999996"/>
    <n v="0.74999999999999967"/>
    <n v="0"/>
    <n v="0"/>
  </r>
  <r>
    <x v="0"/>
    <x v="19"/>
    <x v="1"/>
    <n v="0.65878576388888876"/>
    <n v="0.71875"/>
    <n v="0.8191666666666666"/>
    <n v="0.63888888888888884"/>
    <n v="0.45833750000000006"/>
    <x v="2"/>
    <x v="13"/>
    <n v="1"/>
    <n v="0.63833333333333331"/>
    <n v="0.33333333333333337"/>
    <n v="1"/>
    <n v="0.58333333333333337"/>
    <n v="0.62500000000000011"/>
    <n v="0.29167500000000002"/>
    <n v="1"/>
    <n v="1"/>
    <n v="0.5"/>
    <n v="0.25"/>
    <n v="1"/>
    <n v="0.25"/>
    <n v="1"/>
    <n v="1.0000000000000002"/>
    <n v="1.0000000000000002"/>
    <n v="1"/>
    <n v="0.5"/>
    <n v="1"/>
    <n v="1"/>
    <n v="0.5"/>
    <n v="0.33"/>
    <n v="0.5"/>
    <n v="0"/>
    <n v="0"/>
    <n v="0"/>
    <n v="0"/>
    <n v="1"/>
    <n v="1.0000000000000004"/>
    <n v="1.0000000000000002"/>
    <n v="1"/>
    <n v="1"/>
    <n v="1.0000000000000002"/>
    <n v="0.5"/>
    <n v="0.25"/>
    <n v="0.5"/>
    <n v="1.0000000000000002"/>
    <n v="1.0000000000000002"/>
    <n v="0"/>
    <n v="0.66669999999999996"/>
    <n v="0.5"/>
    <n v="0"/>
    <n v="0"/>
  </r>
  <r>
    <x v="0"/>
    <x v="20"/>
    <x v="1"/>
    <n v="0.76936354166666676"/>
    <n v="1"/>
    <n v="0.90916666666666668"/>
    <n v="0.62870000000000004"/>
    <n v="0.5395875"/>
    <x v="3"/>
    <x v="8"/>
    <n v="1"/>
    <n v="0.81833333333333325"/>
    <n v="0.55276666666666663"/>
    <n v="0.33333333333333331"/>
    <n v="1"/>
    <n v="0.72500000000000009"/>
    <n v="0.35417499999999991"/>
    <n v="1"/>
    <n v="1"/>
    <n v="1"/>
    <n v="1"/>
    <n v="1"/>
    <n v="1"/>
    <n v="1"/>
    <n v="1.0000000000000004"/>
    <n v="1"/>
    <n v="1"/>
    <n v="0.75"/>
    <n v="1"/>
    <n v="1"/>
    <n v="0.75"/>
    <n v="0.66"/>
    <n v="0.75"/>
    <n v="0.6"/>
    <n v="0.35"/>
    <n v="0.21660000000000001"/>
    <n v="0.15"/>
    <n v="1"/>
    <n v="1.0000000000000002"/>
    <n v="1"/>
    <n v="0"/>
    <n v="0"/>
    <n v="1"/>
    <n v="1"/>
    <n v="1"/>
    <n v="0.75"/>
    <n v="1.0000000000000002"/>
    <n v="1.0000000000000002"/>
    <n v="0.15"/>
    <n v="0.66669999999999996"/>
    <n v="0.74999999999999967"/>
    <n v="0"/>
    <n v="0"/>
  </r>
  <r>
    <x v="0"/>
    <x v="21"/>
    <x v="1"/>
    <n v="0.72620381944444445"/>
    <n v="0.77083333333333326"/>
    <n v="0.86083333333333334"/>
    <n v="0.81481111111111115"/>
    <n v="0.45833750000000001"/>
    <x v="0"/>
    <x v="14"/>
    <n v="1"/>
    <n v="0.72166666666666679"/>
    <n v="0.4444333333333334"/>
    <n v="1"/>
    <n v="1"/>
    <n v="0.625"/>
    <n v="0.29167500000000002"/>
    <n v="1"/>
    <n v="1"/>
    <n v="0.75"/>
    <n v="0.75"/>
    <n v="1"/>
    <n v="0.5"/>
    <n v="0.5"/>
    <n v="1"/>
    <n v="1"/>
    <n v="1"/>
    <n v="1"/>
    <n v="1"/>
    <n v="1"/>
    <n v="0.5"/>
    <n v="0.33"/>
    <n v="0.5"/>
    <n v="0.25"/>
    <n v="0"/>
    <n v="0.1666"/>
    <n v="0.25"/>
    <n v="1"/>
    <n v="1.0000000000000004"/>
    <n v="1"/>
    <n v="1"/>
    <n v="1"/>
    <n v="1"/>
    <n v="1"/>
    <n v="1"/>
    <n v="0.5"/>
    <n v="1.0000000000000002"/>
    <n v="1"/>
    <n v="0"/>
    <n v="0.66669999999999996"/>
    <n v="0.5"/>
    <n v="0"/>
    <n v="0"/>
  </r>
  <r>
    <x v="0"/>
    <x v="22"/>
    <x v="1"/>
    <n v="0.57038298611111105"/>
    <n v="0.82000000000000006"/>
    <n v="0.42333333333333334"/>
    <n v="0.61111111111111105"/>
    <n v="0.42708750000000001"/>
    <x v="3"/>
    <x v="15"/>
    <n v="0.33333333333333331"/>
    <n v="0.51333333333333331"/>
    <n v="0.33333333333333337"/>
    <n v="1"/>
    <n v="0.5"/>
    <n v="0.625"/>
    <n v="0.22917499999999999"/>
    <n v="1"/>
    <n v="1"/>
    <n v="1"/>
    <n v="1"/>
    <n v="0.67"/>
    <n v="0.75"/>
    <n v="0.5"/>
    <n v="1"/>
    <n v="0"/>
    <n v="0"/>
    <n v="0.25"/>
    <n v="1"/>
    <n v="1"/>
    <n v="0.25"/>
    <n v="0.33"/>
    <n v="0.25"/>
    <n v="0"/>
    <n v="0"/>
    <n v="0"/>
    <n v="0"/>
    <n v="1"/>
    <n v="1.0000000000000002"/>
    <n v="1"/>
    <n v="1"/>
    <n v="1"/>
    <n v="1"/>
    <n v="0.5"/>
    <n v="0"/>
    <n v="0.5"/>
    <n v="1.0000000000000002"/>
    <n v="1"/>
    <n v="0"/>
    <n v="0.66669999999999996"/>
    <n v="0.25"/>
    <n v="0"/>
    <n v="0"/>
  </r>
  <r>
    <x v="0"/>
    <x v="23"/>
    <x v="1"/>
    <n v="0.57097326388888892"/>
    <n v="0.47166666666666668"/>
    <n v="0.79833333333333334"/>
    <n v="0.63888888888888884"/>
    <n v="0.37500416666666669"/>
    <x v="1"/>
    <x v="16"/>
    <n v="1"/>
    <n v="0.59666666666666657"/>
    <n v="0.33333333333333331"/>
    <n v="1"/>
    <n v="0.58333333333333337"/>
    <n v="0.60417500000000002"/>
    <n v="0.14583333333333337"/>
    <n v="1"/>
    <n v="1"/>
    <n v="0.75"/>
    <n v="0.25"/>
    <n v="0.33"/>
    <n v="0.25"/>
    <n v="0"/>
    <n v="1"/>
    <n v="1.0000000000000002"/>
    <n v="1"/>
    <n v="0.5"/>
    <n v="1"/>
    <n v="1"/>
    <n v="0.5"/>
    <n v="0.33"/>
    <n v="0.25"/>
    <n v="0"/>
    <n v="0"/>
    <n v="0"/>
    <n v="0"/>
    <n v="1"/>
    <n v="1"/>
    <n v="1.0000000000000002"/>
    <n v="1"/>
    <n v="1.0000000000000002"/>
    <n v="1"/>
    <n v="0.5"/>
    <n v="0.25"/>
    <n v="0.75"/>
    <n v="0.99999999999999989"/>
    <n v="0.66669999999999996"/>
    <n v="0"/>
    <n v="0.33333333333333343"/>
    <n v="0.25"/>
    <n v="0"/>
    <n v="0"/>
  </r>
  <r>
    <x v="0"/>
    <x v="24"/>
    <x v="2"/>
    <n v="0.393959375"/>
    <n v="0.38541666666666669"/>
    <n v="0.57583333333333342"/>
    <n v="0.33333333333333331"/>
    <n v="0.28125416666666669"/>
    <x v="2"/>
    <x v="11"/>
    <n v="0.66666666666666674"/>
    <n v="0.48499999999999999"/>
    <n v="0.16666666666666666"/>
    <n v="0.33333333333333331"/>
    <n v="0.5"/>
    <n v="0.33333333333333337"/>
    <n v="0.22917499999999999"/>
    <n v="1"/>
    <n v="1"/>
    <n v="0.5"/>
    <n v="0.25"/>
    <n v="0"/>
    <n v="0.25"/>
    <n v="0"/>
    <n v="1.0000000000000002"/>
    <n v="1"/>
    <n v="0"/>
    <n v="0.75"/>
    <n v="0"/>
    <n v="0"/>
    <n v="0.75"/>
    <n v="0.66"/>
    <n v="0.75"/>
    <n v="0"/>
    <n v="0"/>
    <n v="0"/>
    <n v="0"/>
    <n v="0"/>
    <n v="1"/>
    <n v="1"/>
    <n v="0"/>
    <n v="0"/>
    <n v="1"/>
    <n v="0.5"/>
    <n v="0"/>
    <n v="0.5"/>
    <n v="0.5"/>
    <n v="0.33333333333333343"/>
    <n v="0"/>
    <n v="0.66669999999999996"/>
    <n v="0.25"/>
    <n v="0"/>
    <n v="0"/>
  </r>
  <r>
    <x v="0"/>
    <x v="25"/>
    <x v="2"/>
    <n v="0.43496631944444442"/>
    <n v="0.40333333333333332"/>
    <n v="0.57958333333333334"/>
    <n v="0.44444444444444442"/>
    <n v="0.31250416666666669"/>
    <x v="7"/>
    <x v="17"/>
    <n v="0.66666666666666663"/>
    <n v="0.49249999999999999"/>
    <n v="0.16666666666666669"/>
    <n v="0.66666666666666663"/>
    <n v="0.5"/>
    <n v="0.39583333333333337"/>
    <n v="0.22917499999999999"/>
    <n v="1"/>
    <n v="1"/>
    <n v="0"/>
    <n v="0"/>
    <n v="0.67"/>
    <n v="0.25"/>
    <n v="0"/>
    <n v="1"/>
    <n v="0"/>
    <n v="1"/>
    <n v="0.25"/>
    <n v="1"/>
    <n v="0.875"/>
    <n v="0.25"/>
    <n v="0.33"/>
    <n v="0.25"/>
    <n v="0"/>
    <n v="0"/>
    <n v="0"/>
    <n v="0"/>
    <n v="0"/>
    <n v="1.0000000000000002"/>
    <n v="1"/>
    <n v="1"/>
    <n v="0"/>
    <n v="1"/>
    <n v="0.5"/>
    <n v="0"/>
    <n v="0.25"/>
    <n v="1"/>
    <n v="0.33333333333333343"/>
    <n v="0"/>
    <n v="0.66669999999999996"/>
    <n v="0.25"/>
    <n v="0"/>
    <n v="0"/>
  </r>
  <r>
    <x v="0"/>
    <x v="26"/>
    <x v="2"/>
    <n v="0.43836909722222217"/>
    <n v="0.58333333333333326"/>
    <n v="0.4375"/>
    <n v="0.38888888888888884"/>
    <n v="0.34375416666666669"/>
    <x v="1"/>
    <x v="1"/>
    <n v="0.33333333333333337"/>
    <n v="0.54166666666666663"/>
    <n v="0.33333333333333337"/>
    <n v="0.33333333333333331"/>
    <n v="0.5"/>
    <n v="0.54167500000000002"/>
    <n v="0.14583333333333337"/>
    <n v="1"/>
    <n v="1"/>
    <n v="0.75"/>
    <n v="0.25"/>
    <n v="0"/>
    <n v="0.25"/>
    <n v="1"/>
    <n v="1.0000000000000002"/>
    <n v="0"/>
    <n v="0"/>
    <n v="0.5"/>
    <n v="1"/>
    <n v="0.75"/>
    <n v="0.75"/>
    <n v="0"/>
    <n v="0.25"/>
    <n v="0"/>
    <n v="0"/>
    <n v="0"/>
    <n v="0"/>
    <n v="1"/>
    <n v="1.0000000000000002"/>
    <n v="1"/>
    <n v="0"/>
    <n v="0"/>
    <n v="1"/>
    <n v="0.5"/>
    <n v="0"/>
    <n v="0.5"/>
    <n v="1"/>
    <n v="0.66669999999999996"/>
    <n v="0"/>
    <n v="0.33333333333333343"/>
    <n v="0.25"/>
    <n v="0"/>
    <n v="0"/>
  </r>
  <r>
    <x v="1"/>
    <x v="7"/>
    <x v="0"/>
    <n v="0.84754501388888892"/>
    <n v="0.92708333333333326"/>
    <n v="0.9375"/>
    <n v="0.7755967222222222"/>
    <n v="0.75"/>
    <x v="6"/>
    <x v="4"/>
    <n v="1"/>
    <n v="0.87499999999999989"/>
    <n v="0.49345683333333334"/>
    <n v="1"/>
    <n v="0.83333333333333326"/>
    <n v="1"/>
    <n v="0.5"/>
    <n v="1"/>
    <n v="1"/>
    <n v="1"/>
    <n v="0.75"/>
    <n v="1"/>
    <n v="0.75"/>
    <n v="1"/>
    <n v="1"/>
    <n v="1"/>
    <n v="1"/>
    <n v="0.75"/>
    <n v="1"/>
    <n v="1"/>
    <n v="0.75"/>
    <n v="1"/>
    <n v="0.75"/>
    <n v="0.55555600000000005"/>
    <n v="0.22"/>
    <n v="0.18518499999999999"/>
    <n v="0"/>
    <n v="1"/>
    <n v="1"/>
    <n v="1"/>
    <n v="1"/>
    <n v="1"/>
    <n v="1"/>
    <n v="0.5"/>
    <n v="1"/>
    <n v="1"/>
    <n v="1"/>
    <n v="1"/>
    <s v="No aplica"/>
    <n v="1"/>
    <n v="1"/>
    <n v="0"/>
    <n v="0"/>
  </r>
  <r>
    <x v="1"/>
    <x v="20"/>
    <x v="1"/>
    <n v="0.75545138888888885"/>
    <n v="1"/>
    <n v="0.89930555555555558"/>
    <n v="0.52833333333333332"/>
    <n v="0.59416666666666662"/>
    <x v="3"/>
    <x v="8"/>
    <n v="1"/>
    <n v="0.79861111111111116"/>
    <n v="0.41833333333333333"/>
    <n v="0.33333333333333331"/>
    <n v="0.83333333333333326"/>
    <n v="0.83333333333333326"/>
    <n v="0.35499999999999998"/>
    <n v="1"/>
    <n v="1"/>
    <n v="1"/>
    <n v="1"/>
    <n v="1"/>
    <n v="1"/>
    <n v="1"/>
    <n v="1"/>
    <n v="1"/>
    <n v="1"/>
    <n v="0.75"/>
    <n v="1"/>
    <n v="0.875"/>
    <n v="0.75"/>
    <n v="0.66666666666666663"/>
    <n v="0.75"/>
    <n v="0.3"/>
    <n v="0.17"/>
    <n v="0.04"/>
    <n v="0"/>
    <n v="1"/>
    <n v="1"/>
    <n v="1"/>
    <n v="0"/>
    <n v="0"/>
    <n v="1"/>
    <n v="0.5"/>
    <n v="1"/>
    <n v="0.5"/>
    <n v="1"/>
    <n v="1"/>
    <s v="No aplica"/>
    <n v="0.67"/>
    <n v="0.75"/>
    <n v="0"/>
    <n v="0"/>
  </r>
  <r>
    <x v="1"/>
    <x v="12"/>
    <x v="1"/>
    <n v="0.7505787037037035"/>
    <n v="0.90277777777777779"/>
    <n v="0.46527777777777768"/>
    <n v="0.92592592592592582"/>
    <n v="0.70833333333333326"/>
    <x v="3"/>
    <x v="18"/>
    <n v="0.33333333333333331"/>
    <n v="0.5972222222222221"/>
    <n v="0.94444444444444431"/>
    <n v="1"/>
    <n v="0.83333333333333326"/>
    <n v="0.91666666666666652"/>
    <n v="0.5"/>
    <n v="1"/>
    <n v="1"/>
    <n v="1"/>
    <n v="1"/>
    <n v="0.66666666666666663"/>
    <n v="0.75"/>
    <n v="1"/>
    <n v="1"/>
    <n v="0"/>
    <n v="0"/>
    <n v="0.5"/>
    <n v="1"/>
    <n v="1"/>
    <n v="0.5"/>
    <n v="0.33333333333333331"/>
    <n v="0.25"/>
    <n v="1"/>
    <n v="1"/>
    <n v="0.66666666666666663"/>
    <n v="1"/>
    <n v="1"/>
    <n v="1"/>
    <n v="1"/>
    <n v="1"/>
    <n v="1"/>
    <n v="1"/>
    <n v="1"/>
    <n v="0.5"/>
    <n v="0.75"/>
    <n v="1"/>
    <n v="1"/>
    <s v="No aplica"/>
    <n v="1"/>
    <n v="1"/>
    <n v="0"/>
    <n v="0"/>
  </r>
  <r>
    <x v="1"/>
    <x v="18"/>
    <x v="1"/>
    <n v="0.7456597222222221"/>
    <n v="0.86111111111111105"/>
    <n v="0.69444444444444442"/>
    <n v="0.75"/>
    <n v="0.67708333333333326"/>
    <x v="3"/>
    <x v="19"/>
    <n v="0.66666666666666663"/>
    <n v="0.72222222222222221"/>
    <n v="0.5"/>
    <n v="1"/>
    <n v="0.75"/>
    <n v="0.91666666666666652"/>
    <n v="0.4375"/>
    <n v="1"/>
    <n v="1"/>
    <n v="1"/>
    <n v="1"/>
    <n v="0.66666666666666663"/>
    <n v="0.5"/>
    <n v="1"/>
    <n v="1"/>
    <n v="1"/>
    <n v="0"/>
    <n v="0.75"/>
    <n v="1"/>
    <n v="1"/>
    <n v="0.75"/>
    <n v="0.33333333333333331"/>
    <n v="0.5"/>
    <n v="0.4"/>
    <n v="0.2"/>
    <n v="0.2"/>
    <n v="0.2"/>
    <n v="1"/>
    <n v="1"/>
    <n v="1"/>
    <n v="1"/>
    <n v="1"/>
    <n v="1"/>
    <n v="1"/>
    <n v="0.25"/>
    <n v="0.75"/>
    <n v="1"/>
    <n v="1"/>
    <s v="No aplica"/>
    <n v="1"/>
    <n v="0.75"/>
    <n v="0"/>
    <n v="0"/>
  </r>
  <r>
    <x v="1"/>
    <x v="11"/>
    <x v="1"/>
    <n v="0.72371527777777778"/>
    <n v="0.875"/>
    <n v="0.875"/>
    <n v="0.42611111111111111"/>
    <n v="0.71875"/>
    <x v="1"/>
    <x v="8"/>
    <n v="1"/>
    <n v="0.74999999999999989"/>
    <n v="0.69499999999999995"/>
    <n v="0"/>
    <n v="0.58333333333333337"/>
    <n v="1"/>
    <n v="0.4375"/>
    <n v="1"/>
    <n v="1"/>
    <n v="1"/>
    <n v="0"/>
    <n v="1"/>
    <n v="1"/>
    <n v="1"/>
    <n v="1"/>
    <n v="1"/>
    <n v="1"/>
    <n v="0.5"/>
    <n v="1"/>
    <n v="1"/>
    <n v="0.75"/>
    <n v="1"/>
    <n v="0.25"/>
    <n v="1"/>
    <n v="0"/>
    <n v="0.17"/>
    <n v="1"/>
    <n v="1"/>
    <n v="1"/>
    <n v="0"/>
    <n v="0"/>
    <n v="0"/>
    <n v="1"/>
    <n v="0.5"/>
    <n v="0.25"/>
    <n v="1"/>
    <n v="1"/>
    <n v="1"/>
    <s v="No aplica"/>
    <n v="1"/>
    <n v="0.75"/>
    <n v="0"/>
    <n v="0"/>
  </r>
  <r>
    <x v="1"/>
    <x v="22"/>
    <x v="1"/>
    <n v="0.68"/>
    <n v="0.875"/>
    <n v="0.59027777777777768"/>
    <n v="0.66666666666666663"/>
    <n v="0.57291666666666663"/>
    <x v="3"/>
    <x v="20"/>
    <n v="0.66666666666666663"/>
    <n v="0.51388888888888884"/>
    <n v="0.33333333333333331"/>
    <n v="1"/>
    <n v="0.66666666666666663"/>
    <n v="0.91666666666666652"/>
    <n v="0.22916666666666666"/>
    <n v="1"/>
    <n v="1"/>
    <n v="1"/>
    <n v="1"/>
    <n v="1"/>
    <n v="0.75"/>
    <n v="0.5"/>
    <n v="1"/>
    <n v="0"/>
    <n v="1"/>
    <n v="0.25"/>
    <n v="1"/>
    <n v="1"/>
    <n v="0.25"/>
    <n v="0.33333333333333331"/>
    <n v="0.25"/>
    <n v="0"/>
    <n v="0"/>
    <n v="0"/>
    <n v="0"/>
    <n v="1"/>
    <n v="1"/>
    <n v="1"/>
    <n v="1"/>
    <n v="1"/>
    <n v="1"/>
    <n v="1"/>
    <n v="0"/>
    <n v="0.75"/>
    <n v="1"/>
    <n v="1"/>
    <s v="No aplica"/>
    <n v="0.66666666666666663"/>
    <n v="0.25"/>
    <n v="0"/>
    <n v="0"/>
  </r>
  <r>
    <x v="1"/>
    <x v="0"/>
    <x v="0"/>
    <n v="0.70052083333333326"/>
    <n v="0.75694444444444442"/>
    <n v="0.90277777777777779"/>
    <n v="0.66666666666666663"/>
    <n v="0.47569444444444442"/>
    <x v="0"/>
    <x v="21"/>
    <n v="1"/>
    <n v="0.80555555555555558"/>
    <n v="0.5"/>
    <n v="1"/>
    <n v="0.5"/>
    <n v="0.63888888888888884"/>
    <n v="0.3125"/>
    <n v="1"/>
    <n v="1"/>
    <n v="0.75"/>
    <n v="0.75"/>
    <n v="0.66666666666666696"/>
    <n v="0.25"/>
    <n v="1"/>
    <n v="1"/>
    <n v="1"/>
    <n v="1"/>
    <n v="1"/>
    <n v="1"/>
    <n v="1"/>
    <n v="0.75"/>
    <n v="0.33333333333333331"/>
    <n v="0.75"/>
    <n v="0"/>
    <n v="0"/>
    <n v="0"/>
    <n v="1"/>
    <n v="1"/>
    <n v="1"/>
    <n v="1"/>
    <n v="1"/>
    <n v="1"/>
    <n v="1"/>
    <n v="0.5"/>
    <n v="0"/>
    <n v="0.25"/>
    <n v="1"/>
    <n v="0.66666666666666663"/>
    <s v="No aplica"/>
    <n v="1"/>
    <n v="0.25"/>
    <n v="0"/>
    <n v="0"/>
  </r>
  <r>
    <x v="1"/>
    <x v="19"/>
    <x v="1"/>
    <n v="0.69270833333333326"/>
    <n v="0.71875"/>
    <n v="0.77777777777777768"/>
    <n v="0.63888888888888884"/>
    <n v="0.63541666666666652"/>
    <x v="2"/>
    <x v="20"/>
    <n v="1"/>
    <n v="0.55555555555555547"/>
    <n v="0.33333333333333331"/>
    <n v="1"/>
    <n v="0.58333333333333337"/>
    <n v="0.91666666666666652"/>
    <n v="0.35416666666666663"/>
    <n v="1"/>
    <n v="0.25"/>
    <n v="0.75"/>
    <n v="0.75"/>
    <n v="1"/>
    <n v="0.75"/>
    <n v="0.5"/>
    <n v="1"/>
    <n v="1"/>
    <n v="1"/>
    <n v="0.5"/>
    <n v="1"/>
    <n v="0.75"/>
    <n v="0.5"/>
    <n v="0.33333333333333331"/>
    <n v="0.25"/>
    <n v="0"/>
    <n v="0"/>
    <n v="0"/>
    <n v="0"/>
    <n v="1"/>
    <n v="1"/>
    <n v="1"/>
    <n v="1"/>
    <n v="1"/>
    <n v="1"/>
    <n v="0.5"/>
    <n v="0.25"/>
    <n v="0.75"/>
    <n v="1"/>
    <n v="1"/>
    <s v="No aplica"/>
    <n v="0.66666666666666663"/>
    <n v="0.75"/>
    <n v="0"/>
    <n v="0"/>
  </r>
  <r>
    <x v="1"/>
    <x v="14"/>
    <x v="1"/>
    <n v="0.68229166666666652"/>
    <n v="0.84375"/>
    <n v="0.74652777777777779"/>
    <n v="0.55555555555555558"/>
    <n v="0.58333333333333326"/>
    <x v="6"/>
    <x v="20"/>
    <n v="1"/>
    <n v="0.49305555555555552"/>
    <n v="0.33333333333333331"/>
    <n v="0.66666666666666663"/>
    <n v="0.66666666666666663"/>
    <n v="0.83333333333333326"/>
    <n v="0.33333333333333331"/>
    <n v="1"/>
    <n v="1"/>
    <n v="1"/>
    <n v="0.75"/>
    <n v="1"/>
    <n v="0.75"/>
    <n v="0.5"/>
    <n v="1"/>
    <n v="1"/>
    <n v="1"/>
    <n v="0.25"/>
    <n v="1"/>
    <n v="0.875"/>
    <n v="0.25"/>
    <n v="0.33333333333333331"/>
    <n v="0.25"/>
    <n v="0"/>
    <n v="0"/>
    <n v="0"/>
    <n v="0"/>
    <n v="1"/>
    <n v="1"/>
    <n v="1"/>
    <n v="1"/>
    <n v="0"/>
    <n v="1"/>
    <n v="0.5"/>
    <n v="0.5"/>
    <n v="0.5"/>
    <n v="1"/>
    <n v="1"/>
    <s v="No aplica"/>
    <n v="0.33333333333333331"/>
    <n v="1"/>
    <n v="0"/>
    <n v="0"/>
  </r>
  <r>
    <x v="1"/>
    <x v="6"/>
    <x v="0"/>
    <n v="0.67575231944444447"/>
    <n v="0.65277777777777779"/>
    <n v="0.84722222222222221"/>
    <n v="0.60925927777777777"/>
    <n v="0.59375"/>
    <x v="1"/>
    <x v="22"/>
    <n v="1"/>
    <n v="0.69444444444444442"/>
    <n v="0.41111116666666669"/>
    <n v="0.66666666666666663"/>
    <n v="0.75"/>
    <n v="0.83333333333333326"/>
    <n v="0.35416666666666674"/>
    <n v="1"/>
    <n v="1"/>
    <n v="0.5"/>
    <n v="0.5"/>
    <n v="0.66666666666666696"/>
    <n v="0.5"/>
    <n v="0.5"/>
    <n v="1"/>
    <n v="1"/>
    <n v="1"/>
    <n v="0.5"/>
    <n v="1"/>
    <n v="1"/>
    <n v="0.5"/>
    <n v="0.66666666666666663"/>
    <n v="0.5"/>
    <n v="0.4"/>
    <n v="6.6667000000000004E-2"/>
    <n v="0"/>
    <n v="0"/>
    <n v="1"/>
    <n v="1"/>
    <n v="1"/>
    <n v="1"/>
    <n v="0"/>
    <n v="1"/>
    <n v="1"/>
    <n v="0.25"/>
    <n v="0.5"/>
    <n v="1"/>
    <n v="1"/>
    <s v="No aplica"/>
    <n v="0.66666666666666696"/>
    <n v="0.75"/>
    <n v="0"/>
    <n v="0"/>
  </r>
  <r>
    <x v="1"/>
    <x v="9"/>
    <x v="1"/>
    <n v="0.66493055555555558"/>
    <n v="0.76736111111111105"/>
    <n v="0.75"/>
    <n v="0.66666666666666663"/>
    <n v="0.47569444444444442"/>
    <x v="4"/>
    <x v="19"/>
    <n v="0.66666666666666663"/>
    <n v="0.83333333333333326"/>
    <n v="0.33333333333333331"/>
    <n v="1"/>
    <n v="0.66666666666666663"/>
    <n v="0.80555555555555547"/>
    <n v="0.14583333333333331"/>
    <n v="1"/>
    <n v="1"/>
    <n v="0.75"/>
    <n v="0.5"/>
    <n v="0.66666666666666663"/>
    <n v="0.5"/>
    <n v="1"/>
    <n v="1"/>
    <n v="0"/>
    <n v="1"/>
    <n v="0.75"/>
    <n v="1"/>
    <n v="1"/>
    <n v="0.5"/>
    <n v="1"/>
    <n v="0.75"/>
    <n v="0"/>
    <n v="0"/>
    <n v="0"/>
    <n v="0"/>
    <n v="1"/>
    <n v="1"/>
    <n v="1"/>
    <n v="1"/>
    <n v="1"/>
    <n v="1"/>
    <n v="1"/>
    <n v="0"/>
    <n v="0.75"/>
    <n v="1"/>
    <n v="0.66666666666666663"/>
    <s v="No aplica"/>
    <n v="0.33333333333333331"/>
    <n v="0.25"/>
    <n v="0"/>
    <n v="0"/>
  </r>
  <r>
    <x v="1"/>
    <x v="8"/>
    <x v="0"/>
    <n v="0.65812499999999996"/>
    <n v="0.64583333333333326"/>
    <n v="0.92708333333333326"/>
    <n v="0.58333333333333326"/>
    <n v="0.47624999999999995"/>
    <x v="8"/>
    <x v="14"/>
    <n v="1"/>
    <n v="0.85416666666666663"/>
    <n v="0.16666666666666666"/>
    <n v="1"/>
    <n v="0.58333333333333337"/>
    <n v="0.6399999999999999"/>
    <n v="0.3125"/>
    <n v="1"/>
    <n v="1"/>
    <n v="0.5"/>
    <n v="0"/>
    <n v="1"/>
    <n v="0.5"/>
    <n v="0.5"/>
    <n v="1"/>
    <n v="1"/>
    <n v="1"/>
    <n v="1"/>
    <n v="1"/>
    <n v="0.875"/>
    <n v="0.75"/>
    <n v="1"/>
    <n v="0.5"/>
    <n v="0"/>
    <n v="0"/>
    <n v="0"/>
    <n v="0"/>
    <n v="0"/>
    <n v="1"/>
    <n v="1"/>
    <n v="1"/>
    <n v="1"/>
    <n v="1"/>
    <n v="0.5"/>
    <n v="0.25"/>
    <n v="0.25"/>
    <n v="1"/>
    <n v="0.67"/>
    <s v="No aplica"/>
    <n v="1"/>
    <n v="0.25"/>
    <n v="0"/>
    <n v="0"/>
  </r>
  <r>
    <x v="1"/>
    <x v="21"/>
    <x v="1"/>
    <n v="0.65131944444444445"/>
    <n v="0.55902777777777779"/>
    <n v="0.77083333333333326"/>
    <n v="0.68166666666666664"/>
    <n v="0.59375"/>
    <x v="5"/>
    <x v="22"/>
    <n v="1"/>
    <n v="0.54166666666666663"/>
    <n v="0.3783333333333333"/>
    <n v="1"/>
    <n v="0.66666666666666663"/>
    <n v="0.83333333333333326"/>
    <n v="0.35416666666666663"/>
    <n v="1"/>
    <n v="1"/>
    <n v="0.25"/>
    <n v="0"/>
    <n v="0.66666666666666696"/>
    <n v="0.5"/>
    <n v="0.5"/>
    <n v="1"/>
    <n v="1"/>
    <n v="1"/>
    <n v="0.75"/>
    <n v="1"/>
    <n v="1"/>
    <n v="0.5"/>
    <n v="0"/>
    <n v="0"/>
    <n v="0.2"/>
    <n v="0"/>
    <n v="7.0000000000000007E-2"/>
    <n v="0"/>
    <n v="1"/>
    <n v="1"/>
    <n v="1"/>
    <n v="1"/>
    <n v="1"/>
    <n v="1"/>
    <n v="0.5"/>
    <n v="0.5"/>
    <n v="0.5"/>
    <n v="1"/>
    <n v="1"/>
    <s v="No aplica"/>
    <n v="0.66666666666666663"/>
    <n v="0.75"/>
    <n v="0"/>
    <n v="0"/>
  </r>
  <r>
    <x v="1"/>
    <x v="23"/>
    <x v="1"/>
    <n v="0.63713888888888881"/>
    <n v="0.64924999999999999"/>
    <n v="0.80902777777777779"/>
    <n v="0.61111111111111105"/>
    <n v="0.47916666666666663"/>
    <x v="2"/>
    <x v="23"/>
    <n v="1"/>
    <n v="0.61805555555555558"/>
    <n v="0.33333333333333331"/>
    <n v="1"/>
    <n v="0.5"/>
    <n v="0.75"/>
    <n v="0.20833333333333331"/>
    <n v="1"/>
    <n v="1"/>
    <n v="0.75"/>
    <n v="0"/>
    <n v="0.33300000000000002"/>
    <n v="0.5"/>
    <n v="1"/>
    <n v="1"/>
    <n v="1"/>
    <n v="1"/>
    <n v="0.5"/>
    <n v="1"/>
    <n v="0.875"/>
    <n v="0.5"/>
    <n v="0.33333333333333331"/>
    <n v="0.5"/>
    <n v="0"/>
    <n v="0"/>
    <n v="0"/>
    <n v="0"/>
    <n v="1"/>
    <n v="1"/>
    <n v="1"/>
    <n v="1"/>
    <n v="1"/>
    <n v="1"/>
    <n v="0.5"/>
    <n v="0"/>
    <n v="0.25"/>
    <n v="1"/>
    <n v="1"/>
    <s v="No aplica"/>
    <n v="0.33333333333333331"/>
    <n v="0.5"/>
    <n v="0"/>
    <n v="0"/>
  </r>
  <r>
    <x v="1"/>
    <x v="17"/>
    <x v="1"/>
    <n v="0.62670833333333342"/>
    <n v="0.51736111111111116"/>
    <n v="0.86111111111111116"/>
    <n v="0.61111111111111105"/>
    <n v="0.51724999999999999"/>
    <x v="5"/>
    <x v="24"/>
    <n v="1"/>
    <n v="0.72222222222222221"/>
    <n v="0.33333333333333331"/>
    <n v="1"/>
    <n v="0.5"/>
    <n v="0.72199999999999998"/>
    <n v="0.3125"/>
    <n v="1"/>
    <n v="1"/>
    <n v="0.25"/>
    <n v="0"/>
    <n v="0.66666666666666696"/>
    <n v="0.25"/>
    <n v="0.5"/>
    <n v="1"/>
    <n v="1"/>
    <n v="1"/>
    <n v="0.75"/>
    <n v="1"/>
    <n v="0.75"/>
    <n v="0.75"/>
    <n v="0.33333333333333331"/>
    <n v="0.75"/>
    <n v="0"/>
    <n v="0"/>
    <n v="0"/>
    <n v="0"/>
    <n v="1"/>
    <n v="1"/>
    <n v="1"/>
    <n v="1"/>
    <n v="1"/>
    <n v="1"/>
    <n v="0.5"/>
    <n v="0"/>
    <n v="0.5"/>
    <n v="1"/>
    <n v="0.66600000000000004"/>
    <s v="No aplica"/>
    <n v="1"/>
    <n v="0.25"/>
    <n v="0"/>
    <n v="0"/>
  </r>
  <r>
    <x v="1"/>
    <x v="5"/>
    <x v="0"/>
    <n v="0.62278935185185191"/>
    <n v="0.72916666666666663"/>
    <n v="0.69444444444444442"/>
    <n v="0.54629629629629628"/>
    <n v="0.52124999999999999"/>
    <x v="0"/>
    <x v="5"/>
    <n v="0.66666666666666663"/>
    <n v="0.72222222222222221"/>
    <n v="0.55555555555555547"/>
    <n v="0.33333333333333331"/>
    <n v="0.75"/>
    <n v="0.75"/>
    <n v="0.29249999999999998"/>
    <n v="1"/>
    <n v="1"/>
    <n v="1"/>
    <n v="0.5"/>
    <n v="1"/>
    <n v="0.25"/>
    <n v="0.5"/>
    <n v="1"/>
    <n v="1"/>
    <n v="0"/>
    <n v="0.75"/>
    <n v="1"/>
    <n v="0.75"/>
    <n v="0.75"/>
    <n v="0.33333333333333331"/>
    <n v="0.75"/>
    <n v="1"/>
    <n v="0"/>
    <n v="0.33333333333333331"/>
    <n v="0"/>
    <n v="1"/>
    <n v="1"/>
    <n v="1"/>
    <n v="0"/>
    <n v="0"/>
    <n v="1"/>
    <n v="1"/>
    <n v="0.25"/>
    <n v="0.25"/>
    <n v="1"/>
    <n v="1"/>
    <s v="No aplica"/>
    <n v="0.67"/>
    <n v="0.5"/>
    <n v="0"/>
    <n v="0"/>
  </r>
  <r>
    <x v="1"/>
    <x v="27"/>
    <x v="0"/>
    <n v="0.62235416666666654"/>
    <n v="0.80549999999999999"/>
    <n v="0.77777777777777768"/>
    <n v="0.38888888888888884"/>
    <n v="0.51724999999999999"/>
    <x v="3"/>
    <x v="23"/>
    <n v="1"/>
    <n v="0.55555555555555547"/>
    <n v="0.33333333333333331"/>
    <n v="0.33333333333333331"/>
    <n v="0.5"/>
    <n v="0.72199999999999986"/>
    <n v="0.3125"/>
    <n v="1"/>
    <n v="1"/>
    <n v="1"/>
    <n v="1"/>
    <n v="0.33300000000000002"/>
    <n v="0.5"/>
    <n v="1"/>
    <n v="1"/>
    <n v="1"/>
    <n v="1"/>
    <n v="0.25"/>
    <n v="1"/>
    <n v="1"/>
    <n v="0.5"/>
    <n v="0.33333333333333331"/>
    <n v="0.25"/>
    <n v="0"/>
    <n v="0"/>
    <n v="0"/>
    <n v="0"/>
    <n v="1"/>
    <n v="1"/>
    <n v="1"/>
    <n v="0"/>
    <n v="0"/>
    <n v="1"/>
    <n v="0.5"/>
    <n v="0"/>
    <n v="0.5"/>
    <n v="0.99999999999999989"/>
    <n v="0.66600000000000004"/>
    <s v="No aplica"/>
    <n v="1"/>
    <n v="0.25"/>
    <n v="0"/>
    <n v="0"/>
  </r>
  <r>
    <x v="1"/>
    <x v="3"/>
    <x v="0"/>
    <n v="0.61977777777777776"/>
    <n v="0.60758333333333336"/>
    <n v="0.75694444444444442"/>
    <n v="0.58333333333333326"/>
    <n v="0.53125"/>
    <x v="2"/>
    <x v="25"/>
    <n v="1"/>
    <n v="0.51388888888888884"/>
    <n v="0.16666666666666666"/>
    <n v="1"/>
    <n v="0.58333333333333337"/>
    <n v="0.83333333333333326"/>
    <n v="0.22916666666666666"/>
    <n v="1"/>
    <n v="1"/>
    <n v="0.5"/>
    <n v="0.25"/>
    <n v="0.33300000000000002"/>
    <n v="0.75"/>
    <n v="0.5"/>
    <n v="1"/>
    <n v="1"/>
    <n v="1"/>
    <n v="0.25"/>
    <n v="1"/>
    <n v="1"/>
    <n v="0.25"/>
    <n v="0.33333333333333331"/>
    <n v="0.25"/>
    <n v="0"/>
    <n v="0"/>
    <n v="0"/>
    <n v="0"/>
    <n v="1"/>
    <n v="0"/>
    <n v="1"/>
    <n v="1"/>
    <n v="1"/>
    <n v="1"/>
    <n v="0.5"/>
    <n v="0.25"/>
    <n v="0.5"/>
    <n v="1"/>
    <n v="1"/>
    <s v="No aplica"/>
    <n v="0.66666666666666663"/>
    <n v="0.25"/>
    <n v="0"/>
    <n v="0"/>
  </r>
  <r>
    <x v="1"/>
    <x v="4"/>
    <x v="0"/>
    <n v="0.61496527777777776"/>
    <n v="0.59027777777777779"/>
    <n v="0.75694444444444442"/>
    <n v="0.51888888888888884"/>
    <n v="0.59374999999999989"/>
    <x v="8"/>
    <x v="22"/>
    <n v="1"/>
    <n v="0.51388888888888884"/>
    <n v="0.39"/>
    <n v="0.33333333333333331"/>
    <n v="0.83333333333333326"/>
    <n v="0.91666666666666652"/>
    <n v="0.27083333333333331"/>
    <n v="1"/>
    <n v="1"/>
    <n v="0.5"/>
    <n v="0"/>
    <n v="0.66666666666666696"/>
    <n v="1"/>
    <n v="0"/>
    <n v="1"/>
    <n v="1"/>
    <n v="1"/>
    <n v="0.25"/>
    <n v="1"/>
    <n v="1"/>
    <n v="0.25"/>
    <n v="0.33333333333333331"/>
    <n v="0.25"/>
    <n v="0.28999999999999998"/>
    <n v="0"/>
    <n v="0.05"/>
    <n v="0"/>
    <n v="1"/>
    <n v="1"/>
    <n v="1"/>
    <n v="0"/>
    <n v="0"/>
    <n v="1"/>
    <n v="0.5"/>
    <n v="1"/>
    <n v="0.75"/>
    <n v="1"/>
    <n v="1"/>
    <s v="No aplica"/>
    <n v="0.33333333333333331"/>
    <n v="0.75"/>
    <n v="0"/>
    <n v="0"/>
  </r>
  <r>
    <x v="1"/>
    <x v="15"/>
    <x v="1"/>
    <n v="0.60243055555555558"/>
    <n v="0.70138888888888884"/>
    <n v="0.60763888888888884"/>
    <n v="0.7222222222222221"/>
    <n v="0.37847222222222221"/>
    <x v="0"/>
    <x v="26"/>
    <n v="0.66666666666666663"/>
    <n v="0.54861111111111105"/>
    <n v="0.33333333333333331"/>
    <n v="1"/>
    <n v="0.83333333333333326"/>
    <n v="0.61111111111111116"/>
    <n v="0.14583333333333331"/>
    <n v="1"/>
    <n v="1"/>
    <n v="0.75"/>
    <n v="0.75"/>
    <n v="0.33333333333333298"/>
    <n v="0.75"/>
    <n v="0.5"/>
    <n v="1"/>
    <n v="1"/>
    <n v="0"/>
    <n v="0.25"/>
    <n v="1"/>
    <n v="0.875"/>
    <n v="0.25"/>
    <n v="0.66666666666666663"/>
    <n v="0.25"/>
    <n v="0"/>
    <n v="0"/>
    <n v="0"/>
    <n v="0"/>
    <n v="1"/>
    <n v="1"/>
    <n v="1"/>
    <n v="1"/>
    <n v="1"/>
    <n v="1"/>
    <n v="0.5"/>
    <n v="1"/>
    <n v="0.5"/>
    <n v="1"/>
    <n v="0.33333333333333331"/>
    <s v="No aplica"/>
    <n v="0.33333333333333331"/>
    <n v="0.25"/>
    <n v="0"/>
    <n v="0"/>
  </r>
  <r>
    <x v="1"/>
    <x v="24"/>
    <x v="2"/>
    <n v="0.59982638888888884"/>
    <n v="0.58333333333333326"/>
    <n v="0.85416666666666663"/>
    <n v="0.38888888888888884"/>
    <n v="0.57291666666666663"/>
    <x v="1"/>
    <x v="1"/>
    <n v="1"/>
    <n v="0.70833333333333326"/>
    <n v="0.33333333333333331"/>
    <n v="0.33333333333333331"/>
    <n v="0.5"/>
    <n v="0.83333333333333326"/>
    <n v="0.3125"/>
    <n v="1"/>
    <n v="1"/>
    <n v="1"/>
    <n v="0"/>
    <n v="0"/>
    <n v="0.25"/>
    <n v="1"/>
    <n v="1"/>
    <n v="1"/>
    <n v="1"/>
    <n v="0.75"/>
    <n v="1"/>
    <n v="1"/>
    <n v="0.75"/>
    <n v="0"/>
    <n v="0.75"/>
    <n v="0"/>
    <n v="0"/>
    <n v="0"/>
    <n v="0"/>
    <n v="1"/>
    <n v="1"/>
    <n v="1"/>
    <n v="0"/>
    <n v="0"/>
    <n v="1"/>
    <n v="0.5"/>
    <n v="0"/>
    <n v="0.5"/>
    <n v="1"/>
    <n v="1"/>
    <s v="No aplica"/>
    <n v="1"/>
    <n v="0.25"/>
    <n v="0"/>
    <n v="0"/>
  </r>
  <r>
    <x v="1"/>
    <x v="13"/>
    <x v="1"/>
    <n v="0.55642361111111105"/>
    <n v="0.88541666666666663"/>
    <n v="0.36458333333333331"/>
    <n v="0.63888888888888884"/>
    <n v="0.33680555555555547"/>
    <x v="6"/>
    <x v="27"/>
    <n v="0.33333333333333331"/>
    <n v="0.39583333333333331"/>
    <n v="0.33333333333333331"/>
    <n v="1"/>
    <n v="0.58333333333333337"/>
    <n v="0.52777777777777768"/>
    <n v="0.14583333333333331"/>
    <n v="1"/>
    <n v="1"/>
    <n v="1"/>
    <n v="0.75"/>
    <n v="1"/>
    <n v="0.5"/>
    <n v="1"/>
    <n v="1"/>
    <n v="0"/>
    <n v="0"/>
    <n v="0.25"/>
    <n v="1"/>
    <n v="0.125"/>
    <n v="0.5"/>
    <n v="0"/>
    <n v="0.5"/>
    <n v="1"/>
    <n v="0"/>
    <n v="0"/>
    <n v="0"/>
    <n v="0"/>
    <n v="1"/>
    <n v="1"/>
    <n v="1"/>
    <n v="1"/>
    <n v="1"/>
    <n v="0.5"/>
    <n v="0.25"/>
    <n v="0.25"/>
    <n v="1"/>
    <n v="0.33333333333333331"/>
    <s v="No aplica"/>
    <n v="0.33333333333333331"/>
    <n v="0.25"/>
    <n v="0"/>
    <n v="0"/>
  </r>
  <r>
    <x v="1"/>
    <x v="10"/>
    <x v="1"/>
    <n v="0.54906250000000001"/>
    <n v="0.80555555555555547"/>
    <n v="0.72569444444444442"/>
    <n v="0.45666666666666667"/>
    <n v="0.20833333333333331"/>
    <x v="3"/>
    <x v="28"/>
    <n v="1"/>
    <n v="0.4513888888888889"/>
    <n v="0.53666666666666663"/>
    <n v="0.33333333333333331"/>
    <n v="0.5"/>
    <n v="0.41666666666666663"/>
    <n v="0"/>
    <n v="1"/>
    <n v="1"/>
    <n v="1"/>
    <n v="1"/>
    <n v="0.33333333333333298"/>
    <n v="0.5"/>
    <n v="1"/>
    <n v="1"/>
    <n v="1"/>
    <n v="1"/>
    <n v="0.5"/>
    <n v="1"/>
    <n v="0.375"/>
    <n v="0.25"/>
    <n v="0.33333333333333331"/>
    <n v="0.25"/>
    <n v="1"/>
    <n v="0"/>
    <n v="0.22"/>
    <n v="0"/>
    <n v="1"/>
    <n v="1"/>
    <n v="1"/>
    <n v="0"/>
    <n v="0"/>
    <n v="1"/>
    <n v="0.5"/>
    <n v="0"/>
    <n v="0.25"/>
    <n v="1"/>
    <n v="0"/>
    <s v="No aplica"/>
    <n v="0"/>
    <n v="0"/>
    <n v="0"/>
    <n v="0"/>
  </r>
  <r>
    <x v="1"/>
    <x v="25"/>
    <x v="2"/>
    <n v="0.49652777777777779"/>
    <n v="0.52777777777777779"/>
    <n v="0.57986111111111105"/>
    <n v="0.5"/>
    <n v="0.37847222222222221"/>
    <x v="1"/>
    <x v="29"/>
    <n v="0.66666666666666663"/>
    <n v="0.49305555555555552"/>
    <n v="0.33333333333333331"/>
    <n v="0.66666666666666663"/>
    <n v="0.5"/>
    <n v="0.52777777777777768"/>
    <n v="0.22916666666666674"/>
    <n v="1"/>
    <n v="1"/>
    <n v="0.5"/>
    <n v="0.5"/>
    <n v="0.66666666666666696"/>
    <n v="0.25"/>
    <n v="0"/>
    <n v="1"/>
    <n v="0"/>
    <n v="1"/>
    <n v="0.25"/>
    <n v="1"/>
    <n v="0.875"/>
    <n v="0.25"/>
    <n v="0.33333333333333331"/>
    <n v="0.25"/>
    <n v="0"/>
    <n v="0"/>
    <n v="0"/>
    <n v="0"/>
    <n v="1"/>
    <n v="1"/>
    <n v="1"/>
    <n v="1"/>
    <n v="0"/>
    <n v="1"/>
    <n v="0.5"/>
    <n v="0"/>
    <n v="0.25"/>
    <n v="1"/>
    <n v="0.33333333333333331"/>
    <s v="No aplica"/>
    <n v="0.66666666666666696"/>
    <n v="0.25"/>
    <n v="0"/>
    <n v="0"/>
  </r>
  <r>
    <x v="1"/>
    <x v="26"/>
    <x v="2"/>
    <n v="0.49243055555555548"/>
    <n v="0.54166666666666663"/>
    <n v="0.53125"/>
    <n v="0.38888888888888884"/>
    <n v="0.50791666666666668"/>
    <x v="1"/>
    <x v="10"/>
    <n v="0.66666666666666663"/>
    <n v="0.39583333333333331"/>
    <n v="0.33333333333333331"/>
    <n v="0.33333333333333331"/>
    <n v="0.5"/>
    <n v="0.72333333333333338"/>
    <n v="0.29249999999999998"/>
    <n v="1"/>
    <n v="1"/>
    <n v="0.75"/>
    <n v="0.25"/>
    <n v="0"/>
    <n v="0"/>
    <n v="1"/>
    <n v="1"/>
    <n v="0"/>
    <n v="1"/>
    <n v="0.25"/>
    <n v="1"/>
    <n v="0.625"/>
    <n v="0.5"/>
    <n v="0"/>
    <n v="0"/>
    <n v="0"/>
    <n v="0"/>
    <n v="0"/>
    <n v="0"/>
    <n v="1"/>
    <n v="1"/>
    <n v="1"/>
    <n v="0"/>
    <n v="0"/>
    <n v="1"/>
    <n v="0.5"/>
    <n v="0"/>
    <n v="0.5"/>
    <n v="1"/>
    <n v="0.67"/>
    <s v="No aplica"/>
    <n v="0.67"/>
    <n v="0.5"/>
    <n v="0"/>
    <n v="0"/>
  </r>
  <r>
    <x v="1"/>
    <x v="16"/>
    <x v="1"/>
    <n v="0.44357638888888884"/>
    <n v="0.54166666666666663"/>
    <n v="0.59027777777777768"/>
    <n v="0.38888888888888884"/>
    <n v="0.25347222222222221"/>
    <x v="1"/>
    <x v="10"/>
    <n v="0.66666666666666663"/>
    <n v="0.51388888888888884"/>
    <n v="0.33333333333333331"/>
    <n v="0.33333333333333331"/>
    <n v="0.5"/>
    <n v="0.3611111111111111"/>
    <n v="0.14583333333333331"/>
    <n v="1"/>
    <n v="1"/>
    <n v="1"/>
    <n v="0"/>
    <n v="0"/>
    <n v="0.5"/>
    <n v="0.5"/>
    <n v="1"/>
    <n v="0"/>
    <n v="1"/>
    <n v="0.75"/>
    <n v="1"/>
    <n v="0.5"/>
    <n v="0.25"/>
    <n v="0.33333333333333331"/>
    <n v="0.25"/>
    <n v="0"/>
    <n v="0"/>
    <n v="0"/>
    <n v="0"/>
    <n v="1"/>
    <n v="1"/>
    <n v="1"/>
    <n v="0"/>
    <n v="0"/>
    <n v="1"/>
    <n v="0.5"/>
    <n v="0"/>
    <n v="0.25"/>
    <n v="0.5"/>
    <n v="0.33333333333333331"/>
    <s v="No aplica"/>
    <n v="0.33333333333333331"/>
    <n v="0.25"/>
    <n v="0"/>
    <n v="0"/>
  </r>
  <r>
    <x v="1"/>
    <x v="2"/>
    <x v="0"/>
    <n v="0.43055555555555552"/>
    <n v="0.45833333333333331"/>
    <n v="0.45486111111111105"/>
    <n v="0.33333333333333331"/>
    <n v="0.47569444444444442"/>
    <x v="1"/>
    <x v="30"/>
    <n v="0.33333333333333331"/>
    <n v="0.57638888888888884"/>
    <n v="0.16666666666666666"/>
    <n v="0.33333333333333331"/>
    <n v="0.5"/>
    <n v="0.72222222222222221"/>
    <n v="0.22916666666666666"/>
    <n v="1"/>
    <n v="1"/>
    <n v="1"/>
    <n v="0"/>
    <n v="0"/>
    <n v="0"/>
    <n v="0.5"/>
    <n v="1"/>
    <n v="0"/>
    <n v="0"/>
    <n v="0.25"/>
    <n v="1"/>
    <n v="0.875"/>
    <n v="0.75"/>
    <n v="0.33333333333333331"/>
    <n v="0.25"/>
    <n v="0"/>
    <n v="0"/>
    <n v="0"/>
    <n v="0"/>
    <n v="0"/>
    <n v="1"/>
    <n v="1"/>
    <n v="0"/>
    <n v="0"/>
    <n v="1"/>
    <n v="0.5"/>
    <n v="0"/>
    <n v="0.5"/>
    <n v="1"/>
    <n v="0.66666666666666663"/>
    <s v="No aplica"/>
    <n v="0.66666666666666663"/>
    <n v="0.25"/>
    <n v="0"/>
    <n v="0"/>
  </r>
  <r>
    <x v="2"/>
    <x v="28"/>
    <x v="3"/>
    <m/>
    <n v="0.66182098765432096"/>
    <n v="0.71031893004115199"/>
    <n v="0.57048806584362144"/>
    <n v="0.3883063271604939"/>
    <x v="9"/>
    <x v="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8"/>
    <x v="3"/>
    <n v="0.58273357767489709"/>
    <m/>
    <m/>
    <m/>
    <m/>
    <x v="9"/>
    <x v="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8"/>
    <x v="3"/>
    <n v="0.58273357767489709"/>
    <m/>
    <m/>
    <m/>
    <m/>
    <x v="9"/>
    <x v="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8"/>
    <x v="3"/>
    <n v="0.58273357767489709"/>
    <m/>
    <m/>
    <m/>
    <m/>
    <x v="9"/>
    <x v="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8"/>
    <x v="3"/>
    <n v="0.58273357767489709"/>
    <m/>
    <m/>
    <m/>
    <m/>
    <x v="9"/>
    <x v="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8"/>
    <x v="3"/>
    <n v="0.58273357767489709"/>
    <m/>
    <m/>
    <m/>
    <m/>
    <x v="9"/>
    <x v="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8"/>
    <x v="3"/>
    <n v="0.58273357767489709"/>
    <m/>
    <m/>
    <m/>
    <m/>
    <x v="9"/>
    <x v="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8"/>
    <x v="3"/>
    <n v="0.58273357767489709"/>
    <m/>
    <m/>
    <m/>
    <m/>
    <x v="9"/>
    <x v="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8"/>
    <x v="3"/>
    <n v="0.58273357767489709"/>
    <m/>
    <m/>
    <m/>
    <m/>
    <x v="9"/>
    <x v="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8"/>
    <x v="3"/>
    <n v="0.58273357767489709"/>
    <m/>
    <m/>
    <m/>
    <m/>
    <x v="9"/>
    <x v="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8"/>
    <x v="3"/>
    <n v="0.58273357767489709"/>
    <m/>
    <m/>
    <m/>
    <m/>
    <x v="9"/>
    <x v="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8"/>
    <x v="3"/>
    <n v="0.58273357767489709"/>
    <m/>
    <m/>
    <m/>
    <m/>
    <x v="9"/>
    <x v="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8"/>
    <x v="3"/>
    <n v="0.58273357767489709"/>
    <m/>
    <m/>
    <m/>
    <m/>
    <x v="9"/>
    <x v="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8"/>
    <x v="3"/>
    <n v="0.58273357767489709"/>
    <m/>
    <m/>
    <m/>
    <m/>
    <x v="9"/>
    <x v="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8"/>
    <x v="3"/>
    <n v="0.58273357767489709"/>
    <m/>
    <m/>
    <m/>
    <m/>
    <x v="9"/>
    <x v="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8"/>
    <x v="3"/>
    <n v="0.58273357767489709"/>
    <m/>
    <m/>
    <m/>
    <m/>
    <x v="9"/>
    <x v="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8"/>
    <x v="3"/>
    <n v="0.58273357767489709"/>
    <m/>
    <m/>
    <m/>
    <m/>
    <x v="9"/>
    <x v="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8"/>
    <x v="3"/>
    <n v="0.58273357767489709"/>
    <m/>
    <m/>
    <m/>
    <m/>
    <x v="9"/>
    <x v="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8"/>
    <x v="3"/>
    <n v="0.58273357767489709"/>
    <m/>
    <m/>
    <m/>
    <m/>
    <x v="9"/>
    <x v="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8"/>
    <x v="3"/>
    <n v="0.58273357767489709"/>
    <m/>
    <m/>
    <m/>
    <m/>
    <x v="9"/>
    <x v="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8"/>
    <x v="3"/>
    <n v="0.58273357767489709"/>
    <m/>
    <m/>
    <m/>
    <m/>
    <x v="9"/>
    <x v="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8"/>
    <x v="3"/>
    <n v="0.58273357767489709"/>
    <m/>
    <m/>
    <m/>
    <m/>
    <x v="9"/>
    <x v="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8"/>
    <x v="3"/>
    <n v="0.58273357767489709"/>
    <m/>
    <m/>
    <m/>
    <m/>
    <x v="9"/>
    <x v="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8"/>
    <x v="3"/>
    <n v="0.58273357767489709"/>
    <m/>
    <m/>
    <m/>
    <m/>
    <x v="9"/>
    <x v="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8"/>
    <x v="3"/>
    <n v="0.58273357767489709"/>
    <m/>
    <m/>
    <m/>
    <m/>
    <x v="9"/>
    <x v="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8"/>
    <x v="3"/>
    <n v="0.58273357767489709"/>
    <m/>
    <m/>
    <m/>
    <m/>
    <x v="9"/>
    <x v="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8"/>
    <x v="3"/>
    <n v="0.58273357767489709"/>
    <m/>
    <m/>
    <m/>
    <m/>
    <x v="9"/>
    <x v="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8"/>
    <x v="3"/>
    <n v="0.58273357767489709"/>
    <m/>
    <m/>
    <m/>
    <m/>
    <x v="9"/>
    <x v="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8"/>
    <x v="3"/>
    <m/>
    <m/>
    <m/>
    <m/>
    <m/>
    <x v="9"/>
    <x v="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D5995D-EB1E-4308-BFCD-EEAF2BC0DEDF}" name="TablaDinámica7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A3:E32" firstHeaderRow="1" firstDataRow="2" firstDataCol="1" rowPageCount="1" colPageCount="1"/>
  <pivotFields count="52">
    <pivotField showAll="0"/>
    <pivotField axis="axisRow" showAll="0">
      <items count="29">
        <item x="6"/>
        <item x="16"/>
        <item x="26"/>
        <item x="17"/>
        <item x="15"/>
        <item x="9"/>
        <item x="18"/>
        <item x="0"/>
        <item x="11"/>
        <item x="10"/>
        <item x="22"/>
        <item x="2"/>
        <item x="21"/>
        <item x="8"/>
        <item x="19"/>
        <item x="25"/>
        <item x="14"/>
        <item x="3"/>
        <item x="7"/>
        <item x="1"/>
        <item x="12"/>
        <item x="5"/>
        <item x="13"/>
        <item x="4"/>
        <item x="20"/>
        <item x="23"/>
        <item x="24"/>
        <item x="27"/>
        <item t="default"/>
      </items>
    </pivotField>
    <pivotField axis="axisCol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>
      <items count="23">
        <item x="20"/>
        <item x="15"/>
        <item x="18"/>
        <item x="4"/>
        <item x="19"/>
        <item x="16"/>
        <item x="1"/>
        <item x="14"/>
        <item x="8"/>
        <item x="11"/>
        <item x="9"/>
        <item x="13"/>
        <item x="7"/>
        <item x="10"/>
        <item x="6"/>
        <item x="12"/>
        <item x="17"/>
        <item x="3"/>
        <item x="0"/>
        <item x="5"/>
        <item x="2"/>
        <item x="21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14">
        <item x="9"/>
        <item x="7"/>
        <item x="11"/>
        <item x="8"/>
        <item x="10"/>
        <item x="1"/>
        <item x="3"/>
        <item x="0"/>
        <item x="6"/>
        <item x="4"/>
        <item x="2"/>
        <item x="5"/>
        <item x="12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7">
        <item x="4"/>
        <item x="2"/>
        <item x="3"/>
        <item x="1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12" hier="-1"/>
  </pageFields>
  <formats count="3">
    <format dxfId="2">
      <pivotArea outline="0" collapsedLevelsAreSubtotals="1" fieldPosition="0"/>
    </format>
    <format dxfId="1">
      <pivotArea dataOnly="0" labelOnly="1" outline="0" axis="axisValues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BEC9DA-F954-4505-914C-2BCF36723E98}" name="TablaDinámica5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8" firstHeaderRow="1" firstDataRow="2" firstDataCol="1"/>
  <pivotFields count="53">
    <pivotField axis="axisCol" multipleItemSelectionAllowed="1" showAll="0">
      <items count="4">
        <item x="1"/>
        <item x="0"/>
        <item x="2"/>
        <item t="default"/>
      </items>
    </pivotField>
    <pivotField showAll="0">
      <items count="30">
        <item x="24"/>
        <item x="9"/>
        <item x="0"/>
        <item x="27"/>
        <item x="1"/>
        <item x="2"/>
        <item x="10"/>
        <item x="11"/>
        <item x="3"/>
        <item x="12"/>
        <item x="13"/>
        <item x="14"/>
        <item x="4"/>
        <item x="15"/>
        <item x="5"/>
        <item x="16"/>
        <item x="6"/>
        <item x="17"/>
        <item x="18"/>
        <item x="19"/>
        <item x="7"/>
        <item x="25"/>
        <item x="20"/>
        <item x="21"/>
        <item x="26"/>
        <item x="8"/>
        <item x="22"/>
        <item x="23"/>
        <item x="28"/>
        <item t="default"/>
      </items>
    </pivotField>
    <pivotField axis="axisRow" showAll="0">
      <items count="5">
        <item x="0"/>
        <item x="1"/>
        <item x="2"/>
        <item h="1" x="3"/>
        <item t="default"/>
      </items>
    </pivotField>
    <pivotField dataField="1" showAll="0"/>
    <pivotField showAll="0"/>
    <pivotField showAll="0"/>
    <pivotField showAll="0"/>
    <pivotField showAll="0"/>
    <pivotField showAll="0">
      <items count="11">
        <item x="7"/>
        <item x="5"/>
        <item x="8"/>
        <item x="2"/>
        <item x="1"/>
        <item x="4"/>
        <item x="0"/>
        <item x="6"/>
        <item x="3"/>
        <item x="9"/>
        <item t="default"/>
      </items>
    </pivotField>
    <pivotField showAll="0">
      <items count="33">
        <item x="11"/>
        <item x="30"/>
        <item x="16"/>
        <item x="2"/>
        <item x="29"/>
        <item x="17"/>
        <item x="10"/>
        <item x="0"/>
        <item x="1"/>
        <item x="6"/>
        <item x="24"/>
        <item x="7"/>
        <item x="25"/>
        <item x="26"/>
        <item x="22"/>
        <item x="12"/>
        <item x="5"/>
        <item x="23"/>
        <item x="28"/>
        <item x="21"/>
        <item x="15"/>
        <item x="14"/>
        <item x="19"/>
        <item x="3"/>
        <item x="20"/>
        <item x="13"/>
        <item x="18"/>
        <item x="9"/>
        <item x="27"/>
        <item x="4"/>
        <item x="8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Promedio de Índice de Capacidad Estadística Organismo" fld="3" subtotal="average" baseField="2" baseItem="2"/>
  </dataFields>
  <formats count="3">
    <format dxfId="5">
      <pivotArea dataOnly="0" labelOnly="1" outline="0" fieldPosition="0">
        <references count="1">
          <reference field="0" count="0"/>
        </references>
      </pivotArea>
    </format>
    <format dxfId="4">
      <pivotArea outline="0" collapsedLevelsAreSubtotals="1" fieldPosition="0"/>
    </format>
    <format dxfId="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449F9-7152-491A-BF24-264D8B390047}">
  <dimension ref="A1:BA83"/>
  <sheetViews>
    <sheetView showGridLines="0" zoomScale="115" zoomScaleNormal="115" workbookViewId="0">
      <selection activeCell="AX1" sqref="AX1:BA1"/>
    </sheetView>
  </sheetViews>
  <sheetFormatPr baseColWidth="10" defaultColWidth="12.83203125" defaultRowHeight="15" x14ac:dyDescent="0.2"/>
  <cols>
    <col min="2" max="2" width="40.1640625" customWidth="1"/>
    <col min="3" max="3" width="23.83203125" customWidth="1"/>
    <col min="4" max="4" width="18.1640625" customWidth="1"/>
  </cols>
  <sheetData>
    <row r="1" spans="1:53" s="125" customFormat="1" ht="174.75" customHeight="1" thickBot="1" x14ac:dyDescent="0.25">
      <c r="A1" s="128" t="s">
        <v>133</v>
      </c>
      <c r="B1" s="128" t="s">
        <v>1</v>
      </c>
      <c r="C1" s="127" t="s">
        <v>2</v>
      </c>
      <c r="D1" s="129" t="s">
        <v>3</v>
      </c>
      <c r="E1" s="1" t="s">
        <v>4</v>
      </c>
      <c r="F1" s="2" t="s">
        <v>5</v>
      </c>
      <c r="G1" s="2" t="s">
        <v>6</v>
      </c>
      <c r="H1" s="4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1" t="s">
        <v>24</v>
      </c>
      <c r="Z1" s="2" t="s">
        <v>25</v>
      </c>
      <c r="AA1" s="6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4" t="s">
        <v>32</v>
      </c>
      <c r="AH1" s="1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7" t="s">
        <v>44</v>
      </c>
      <c r="AT1" s="5" t="s">
        <v>45</v>
      </c>
      <c r="AU1" s="6" t="s">
        <v>46</v>
      </c>
      <c r="AV1" s="6" t="s">
        <v>47</v>
      </c>
      <c r="AW1" s="126" t="s">
        <v>151</v>
      </c>
      <c r="AX1" s="6" t="s">
        <v>48</v>
      </c>
      <c r="AY1" s="6" t="s">
        <v>49</v>
      </c>
      <c r="AZ1" s="6" t="s">
        <v>50</v>
      </c>
      <c r="BA1" s="7" t="s">
        <v>51</v>
      </c>
    </row>
    <row r="2" spans="1:53" s="13" customFormat="1" x14ac:dyDescent="0.2">
      <c r="A2" s="12">
        <v>2025</v>
      </c>
      <c r="B2" s="97" t="s">
        <v>105</v>
      </c>
      <c r="C2" s="124" t="s">
        <v>53</v>
      </c>
      <c r="D2" s="108">
        <f t="shared" ref="D2:D28" si="0">E2*0.25+F2*0.25+G2*0.25+H2*0.25</f>
        <v>0.7939190972222222</v>
      </c>
      <c r="E2" s="153">
        <v>0.95833333333333326</v>
      </c>
      <c r="F2" s="153">
        <v>0.90916666666666668</v>
      </c>
      <c r="G2" s="154">
        <v>0.76983888888888885</v>
      </c>
      <c r="H2" s="155">
        <v>0.53833749999999991</v>
      </c>
      <c r="I2" s="153">
        <v>1</v>
      </c>
      <c r="J2" s="156">
        <v>0.91666666666666652</v>
      </c>
      <c r="K2" s="153">
        <v>1</v>
      </c>
      <c r="L2" s="155">
        <v>0.81833333333333325</v>
      </c>
      <c r="M2" s="153">
        <v>0.4761833333333334</v>
      </c>
      <c r="N2" s="154">
        <v>1</v>
      </c>
      <c r="O2" s="155">
        <v>0.83333333333333326</v>
      </c>
      <c r="P2" s="153">
        <v>0.72250000000000003</v>
      </c>
      <c r="Q2" s="155">
        <v>0.35417499999999991</v>
      </c>
      <c r="R2" s="119">
        <v>1</v>
      </c>
      <c r="S2" s="118">
        <v>1</v>
      </c>
      <c r="T2" s="118">
        <v>1</v>
      </c>
      <c r="U2" s="120">
        <v>1</v>
      </c>
      <c r="V2" s="119">
        <v>1</v>
      </c>
      <c r="W2" s="118">
        <v>0.75</v>
      </c>
      <c r="X2" s="117">
        <v>1</v>
      </c>
      <c r="Y2" s="119">
        <v>1</v>
      </c>
      <c r="Z2" s="118">
        <v>1</v>
      </c>
      <c r="AA2" s="117">
        <v>1</v>
      </c>
      <c r="AB2" s="121">
        <v>0.75</v>
      </c>
      <c r="AC2" s="118">
        <v>1</v>
      </c>
      <c r="AD2" s="118">
        <v>1</v>
      </c>
      <c r="AE2" s="118">
        <v>0.75</v>
      </c>
      <c r="AF2" s="118">
        <v>0.66</v>
      </c>
      <c r="AG2" s="117">
        <v>0.75</v>
      </c>
      <c r="AH2" s="119">
        <v>0.57140000000000002</v>
      </c>
      <c r="AI2" s="118">
        <v>0.1429</v>
      </c>
      <c r="AJ2" s="118">
        <v>0.14280000000000001</v>
      </c>
      <c r="AK2" s="118">
        <v>0</v>
      </c>
      <c r="AL2" s="118">
        <v>1</v>
      </c>
      <c r="AM2" s="117">
        <v>1.0000000000000004</v>
      </c>
      <c r="AN2" s="119">
        <v>1</v>
      </c>
      <c r="AO2" s="118">
        <v>1</v>
      </c>
      <c r="AP2" s="117">
        <v>1.0000000000000004</v>
      </c>
      <c r="AQ2" s="121">
        <v>1</v>
      </c>
      <c r="AR2" s="118">
        <v>1</v>
      </c>
      <c r="AS2" s="117">
        <v>0.5</v>
      </c>
      <c r="AT2" s="121">
        <v>0.75</v>
      </c>
      <c r="AU2" s="118">
        <v>1</v>
      </c>
      <c r="AV2" s="118">
        <v>1</v>
      </c>
      <c r="AW2" s="120">
        <v>0.14000000000000001</v>
      </c>
      <c r="AX2" s="119">
        <v>0.66669999999999996</v>
      </c>
      <c r="AY2" s="118">
        <v>0.74999999999999967</v>
      </c>
      <c r="AZ2" s="118">
        <v>0</v>
      </c>
      <c r="BA2" s="117">
        <v>0</v>
      </c>
    </row>
    <row r="3" spans="1:53" s="13" customFormat="1" x14ac:dyDescent="0.2">
      <c r="A3" s="12">
        <v>2025</v>
      </c>
      <c r="B3" s="11" t="s">
        <v>117</v>
      </c>
      <c r="C3" s="12" t="s">
        <v>55</v>
      </c>
      <c r="D3" s="108">
        <f t="shared" si="0"/>
        <v>0.76936354166666676</v>
      </c>
      <c r="E3" s="112">
        <v>1</v>
      </c>
      <c r="F3" s="112">
        <v>0.90916666666666668</v>
      </c>
      <c r="G3" s="113">
        <v>0.62870000000000004</v>
      </c>
      <c r="H3" s="111">
        <v>0.5395875</v>
      </c>
      <c r="I3" s="112">
        <v>1</v>
      </c>
      <c r="J3" s="114">
        <v>1</v>
      </c>
      <c r="K3" s="112">
        <v>1</v>
      </c>
      <c r="L3" s="111">
        <v>0.81833333333333325</v>
      </c>
      <c r="M3" s="112">
        <v>0.55276666666666663</v>
      </c>
      <c r="N3" s="113">
        <v>0.33333333333333331</v>
      </c>
      <c r="O3" s="111">
        <v>1</v>
      </c>
      <c r="P3" s="112">
        <v>0.72500000000000009</v>
      </c>
      <c r="Q3" s="111">
        <v>0.35417499999999991</v>
      </c>
      <c r="R3" s="45">
        <v>1</v>
      </c>
      <c r="S3" s="27">
        <v>1</v>
      </c>
      <c r="T3" s="27">
        <v>1</v>
      </c>
      <c r="U3" s="110">
        <v>1</v>
      </c>
      <c r="V3" s="45">
        <v>1</v>
      </c>
      <c r="W3" s="27">
        <v>1</v>
      </c>
      <c r="X3" s="46">
        <v>1</v>
      </c>
      <c r="Y3" s="45">
        <v>1.0000000000000004</v>
      </c>
      <c r="Z3" s="27">
        <v>1</v>
      </c>
      <c r="AA3" s="46">
        <v>1</v>
      </c>
      <c r="AB3" s="52">
        <v>0.75</v>
      </c>
      <c r="AC3" s="27">
        <v>1</v>
      </c>
      <c r="AD3" s="27">
        <v>1</v>
      </c>
      <c r="AE3" s="27">
        <v>0.75</v>
      </c>
      <c r="AF3" s="27">
        <v>0.66</v>
      </c>
      <c r="AG3" s="46">
        <v>0.75</v>
      </c>
      <c r="AH3" s="45">
        <v>0.6</v>
      </c>
      <c r="AI3" s="27">
        <v>0.35</v>
      </c>
      <c r="AJ3" s="27">
        <v>0.21660000000000001</v>
      </c>
      <c r="AK3" s="27">
        <v>0.15</v>
      </c>
      <c r="AL3" s="27">
        <v>1</v>
      </c>
      <c r="AM3" s="46">
        <v>1.0000000000000002</v>
      </c>
      <c r="AN3" s="45">
        <v>1</v>
      </c>
      <c r="AO3" s="27">
        <v>0</v>
      </c>
      <c r="AP3" s="46">
        <v>0</v>
      </c>
      <c r="AQ3" s="52">
        <v>1</v>
      </c>
      <c r="AR3" s="27">
        <v>1</v>
      </c>
      <c r="AS3" s="46">
        <v>1</v>
      </c>
      <c r="AT3" s="52">
        <v>0.75</v>
      </c>
      <c r="AU3" s="27">
        <v>1.0000000000000002</v>
      </c>
      <c r="AV3" s="27">
        <v>1.0000000000000002</v>
      </c>
      <c r="AW3" s="110">
        <v>0.15</v>
      </c>
      <c r="AX3" s="45">
        <v>0.66669999999999996</v>
      </c>
      <c r="AY3" s="27">
        <v>0.74999999999999967</v>
      </c>
      <c r="AZ3" s="27">
        <v>0</v>
      </c>
      <c r="BA3" s="46">
        <v>0</v>
      </c>
    </row>
    <row r="4" spans="1:53" s="13" customFormat="1" x14ac:dyDescent="0.2">
      <c r="A4" s="12">
        <v>2025</v>
      </c>
      <c r="B4" s="11" t="s">
        <v>128</v>
      </c>
      <c r="C4" s="12" t="s">
        <v>55</v>
      </c>
      <c r="D4" s="108">
        <f t="shared" si="0"/>
        <v>0.76859999999999995</v>
      </c>
      <c r="E4" s="112">
        <v>0.875</v>
      </c>
      <c r="F4" s="112">
        <v>0.89500000000000002</v>
      </c>
      <c r="G4" s="113">
        <v>0.64814999999999989</v>
      </c>
      <c r="H4" s="111">
        <v>0.65625</v>
      </c>
      <c r="I4" s="112">
        <v>0.75</v>
      </c>
      <c r="J4" s="114">
        <v>1</v>
      </c>
      <c r="K4" s="112">
        <v>1</v>
      </c>
      <c r="L4" s="111">
        <v>0.79</v>
      </c>
      <c r="M4" s="112">
        <v>0.6944499999999999</v>
      </c>
      <c r="N4" s="113">
        <v>0.66666666666666663</v>
      </c>
      <c r="O4" s="111">
        <v>0.58333333333333337</v>
      </c>
      <c r="P4" s="112">
        <v>0.8125</v>
      </c>
      <c r="Q4" s="111">
        <v>0.5</v>
      </c>
      <c r="R4" s="45">
        <v>1</v>
      </c>
      <c r="S4" s="27">
        <v>1</v>
      </c>
      <c r="T4" s="27">
        <v>1</v>
      </c>
      <c r="U4" s="110">
        <v>0</v>
      </c>
      <c r="V4" s="45">
        <v>1</v>
      </c>
      <c r="W4" s="27">
        <v>1</v>
      </c>
      <c r="X4" s="46">
        <v>1</v>
      </c>
      <c r="Y4" s="45">
        <v>1</v>
      </c>
      <c r="Z4" s="27">
        <v>1</v>
      </c>
      <c r="AA4" s="46">
        <v>1</v>
      </c>
      <c r="AB4" s="52">
        <v>0.75</v>
      </c>
      <c r="AC4" s="27">
        <v>1</v>
      </c>
      <c r="AD4" s="27">
        <v>1</v>
      </c>
      <c r="AE4" s="27">
        <v>0.5</v>
      </c>
      <c r="AF4" s="27">
        <v>0.9900000000000001</v>
      </c>
      <c r="AG4" s="46">
        <v>0.5</v>
      </c>
      <c r="AH4" s="45">
        <v>1</v>
      </c>
      <c r="AI4" s="27">
        <v>0</v>
      </c>
      <c r="AJ4" s="27">
        <v>0.16669999999999999</v>
      </c>
      <c r="AK4" s="27">
        <v>1</v>
      </c>
      <c r="AL4" s="27">
        <v>1</v>
      </c>
      <c r="AM4" s="46">
        <v>0.99999999999999989</v>
      </c>
      <c r="AN4" s="45">
        <v>1</v>
      </c>
      <c r="AO4" s="27">
        <v>1</v>
      </c>
      <c r="AP4" s="46">
        <v>0</v>
      </c>
      <c r="AQ4" s="52">
        <v>1.0000000000000002</v>
      </c>
      <c r="AR4" s="27">
        <v>0.5</v>
      </c>
      <c r="AS4" s="46">
        <v>0.25</v>
      </c>
      <c r="AT4" s="52">
        <v>1</v>
      </c>
      <c r="AU4" s="27">
        <v>0.99999999999999978</v>
      </c>
      <c r="AV4" s="27">
        <v>1</v>
      </c>
      <c r="AW4" s="110">
        <v>0.25</v>
      </c>
      <c r="AX4" s="45">
        <v>1.0000000000000002</v>
      </c>
      <c r="AY4" s="27">
        <v>0.99999999999999989</v>
      </c>
      <c r="AZ4" s="27">
        <v>0</v>
      </c>
      <c r="BA4" s="46">
        <v>0</v>
      </c>
    </row>
    <row r="5" spans="1:53" s="13" customFormat="1" x14ac:dyDescent="0.2">
      <c r="A5" s="12">
        <v>2025</v>
      </c>
      <c r="B5" s="11" t="s">
        <v>118</v>
      </c>
      <c r="C5" s="12" t="s">
        <v>55</v>
      </c>
      <c r="D5" s="108">
        <f t="shared" si="0"/>
        <v>0.72620381944444445</v>
      </c>
      <c r="E5" s="112">
        <v>0.77083333333333326</v>
      </c>
      <c r="F5" s="112">
        <v>0.86083333333333334</v>
      </c>
      <c r="G5" s="113">
        <v>0.81481111111111115</v>
      </c>
      <c r="H5" s="111">
        <v>0.45833750000000001</v>
      </c>
      <c r="I5" s="112">
        <v>0.875</v>
      </c>
      <c r="J5" s="114">
        <v>0.66666666666666663</v>
      </c>
      <c r="K5" s="112">
        <v>1</v>
      </c>
      <c r="L5" s="111">
        <v>0.72166666666666679</v>
      </c>
      <c r="M5" s="112">
        <v>0.4444333333333334</v>
      </c>
      <c r="N5" s="113">
        <v>1</v>
      </c>
      <c r="O5" s="111">
        <v>1</v>
      </c>
      <c r="P5" s="112">
        <v>0.625</v>
      </c>
      <c r="Q5" s="111">
        <v>0.29167500000000002</v>
      </c>
      <c r="R5" s="45">
        <v>1</v>
      </c>
      <c r="S5" s="27">
        <v>1</v>
      </c>
      <c r="T5" s="27">
        <v>0.75</v>
      </c>
      <c r="U5" s="110">
        <v>0.75</v>
      </c>
      <c r="V5" s="45">
        <v>1</v>
      </c>
      <c r="W5" s="27">
        <v>0.5</v>
      </c>
      <c r="X5" s="46">
        <v>0.5</v>
      </c>
      <c r="Y5" s="45">
        <v>1</v>
      </c>
      <c r="Z5" s="27">
        <v>1</v>
      </c>
      <c r="AA5" s="46">
        <v>1</v>
      </c>
      <c r="AB5" s="52">
        <v>1</v>
      </c>
      <c r="AC5" s="27">
        <v>1</v>
      </c>
      <c r="AD5" s="27">
        <v>1</v>
      </c>
      <c r="AE5" s="27">
        <v>0.5</v>
      </c>
      <c r="AF5" s="27">
        <v>0.33</v>
      </c>
      <c r="AG5" s="46">
        <v>0.5</v>
      </c>
      <c r="AH5" s="45">
        <v>0.25</v>
      </c>
      <c r="AI5" s="27">
        <v>0</v>
      </c>
      <c r="AJ5" s="27">
        <v>0.1666</v>
      </c>
      <c r="AK5" s="27">
        <v>0.25</v>
      </c>
      <c r="AL5" s="27">
        <v>1</v>
      </c>
      <c r="AM5" s="46">
        <v>1.0000000000000004</v>
      </c>
      <c r="AN5" s="45">
        <v>1</v>
      </c>
      <c r="AO5" s="27">
        <v>1</v>
      </c>
      <c r="AP5" s="46">
        <v>1</v>
      </c>
      <c r="AQ5" s="52">
        <v>1</v>
      </c>
      <c r="AR5" s="27">
        <v>1</v>
      </c>
      <c r="AS5" s="46">
        <v>1</v>
      </c>
      <c r="AT5" s="52">
        <v>0.5</v>
      </c>
      <c r="AU5" s="27">
        <v>1.0000000000000002</v>
      </c>
      <c r="AV5" s="27">
        <v>1</v>
      </c>
      <c r="AW5" s="110">
        <v>0</v>
      </c>
      <c r="AX5" s="45">
        <v>0.66669999999999996</v>
      </c>
      <c r="AY5" s="27">
        <v>0.5</v>
      </c>
      <c r="AZ5" s="27">
        <v>0</v>
      </c>
      <c r="BA5" s="46">
        <v>0</v>
      </c>
    </row>
    <row r="6" spans="1:53" s="13" customFormat="1" x14ac:dyDescent="0.2">
      <c r="A6" s="12">
        <v>2025</v>
      </c>
      <c r="B6" s="11" t="s">
        <v>112</v>
      </c>
      <c r="C6" s="12" t="s">
        <v>55</v>
      </c>
      <c r="D6" s="108">
        <f t="shared" si="0"/>
        <v>0.72047604166666668</v>
      </c>
      <c r="E6" s="112">
        <v>0.79166666666666663</v>
      </c>
      <c r="F6" s="112">
        <v>0.87125000000000008</v>
      </c>
      <c r="G6" s="113">
        <v>0.69814999999999994</v>
      </c>
      <c r="H6" s="111">
        <v>0.52083749999999995</v>
      </c>
      <c r="I6" s="112">
        <v>1</v>
      </c>
      <c r="J6" s="114">
        <v>0.58333333333333326</v>
      </c>
      <c r="K6" s="112">
        <v>1</v>
      </c>
      <c r="L6" s="111">
        <v>0.74250000000000005</v>
      </c>
      <c r="M6" s="112">
        <v>0.51111666666666666</v>
      </c>
      <c r="N6" s="113">
        <v>1</v>
      </c>
      <c r="O6" s="111">
        <v>0.58333333333333337</v>
      </c>
      <c r="P6" s="112">
        <v>0.6875</v>
      </c>
      <c r="Q6" s="111">
        <v>0.35417499999999991</v>
      </c>
      <c r="R6" s="45">
        <v>1</v>
      </c>
      <c r="S6" s="27">
        <v>1</v>
      </c>
      <c r="T6" s="27">
        <v>1</v>
      </c>
      <c r="U6" s="110">
        <v>1</v>
      </c>
      <c r="V6" s="45">
        <v>0</v>
      </c>
      <c r="W6" s="27">
        <v>0.75</v>
      </c>
      <c r="X6" s="46">
        <v>1</v>
      </c>
      <c r="Y6" s="45">
        <v>1</v>
      </c>
      <c r="Z6" s="27">
        <v>1</v>
      </c>
      <c r="AA6" s="46">
        <v>1</v>
      </c>
      <c r="AB6" s="52">
        <v>1</v>
      </c>
      <c r="AC6" s="27">
        <v>1</v>
      </c>
      <c r="AD6" s="27">
        <v>0.625</v>
      </c>
      <c r="AE6" s="27">
        <v>0.75</v>
      </c>
      <c r="AF6" s="27">
        <v>0.33</v>
      </c>
      <c r="AG6" s="46">
        <v>0.75</v>
      </c>
      <c r="AH6" s="45">
        <v>0.4</v>
      </c>
      <c r="AI6" s="27">
        <v>0.2</v>
      </c>
      <c r="AJ6" s="27">
        <v>6.6699999999999995E-2</v>
      </c>
      <c r="AK6" s="27">
        <v>0.4</v>
      </c>
      <c r="AL6" s="27">
        <v>1</v>
      </c>
      <c r="AM6" s="46">
        <v>1</v>
      </c>
      <c r="AN6" s="45">
        <v>1</v>
      </c>
      <c r="AO6" s="27">
        <v>1</v>
      </c>
      <c r="AP6" s="46">
        <v>1</v>
      </c>
      <c r="AQ6" s="52">
        <v>1</v>
      </c>
      <c r="AR6" s="27">
        <v>0.5</v>
      </c>
      <c r="AS6" s="46">
        <v>0.25</v>
      </c>
      <c r="AT6" s="52">
        <v>0.75</v>
      </c>
      <c r="AU6" s="27">
        <v>1.0000000000000002</v>
      </c>
      <c r="AV6" s="27">
        <v>1</v>
      </c>
      <c r="AW6" s="110">
        <v>0</v>
      </c>
      <c r="AX6" s="45">
        <v>0.66669999999999996</v>
      </c>
      <c r="AY6" s="27">
        <v>0.74999999999999967</v>
      </c>
      <c r="AZ6" s="27">
        <v>0</v>
      </c>
      <c r="BA6" s="46">
        <v>0</v>
      </c>
    </row>
    <row r="7" spans="1:53" s="13" customFormat="1" x14ac:dyDescent="0.2">
      <c r="A7" s="12">
        <v>2025</v>
      </c>
      <c r="B7" s="11" t="s">
        <v>120</v>
      </c>
      <c r="C7" s="12" t="s">
        <v>55</v>
      </c>
      <c r="D7" s="108">
        <f t="shared" si="0"/>
        <v>0.71253576388888895</v>
      </c>
      <c r="E7" s="112">
        <v>0.86458333333333326</v>
      </c>
      <c r="F7" s="112">
        <v>0.88833333333333342</v>
      </c>
      <c r="G7" s="113">
        <v>0.72222222222222221</v>
      </c>
      <c r="H7" s="111">
        <v>0.37500416666666669</v>
      </c>
      <c r="I7" s="112">
        <v>0.8125</v>
      </c>
      <c r="J7" s="114">
        <v>0.91666666666666652</v>
      </c>
      <c r="K7" s="112">
        <v>1</v>
      </c>
      <c r="L7" s="111">
        <v>0.77666666666666673</v>
      </c>
      <c r="M7" s="112">
        <v>0.33333333333333337</v>
      </c>
      <c r="N7" s="113">
        <v>1</v>
      </c>
      <c r="O7" s="111">
        <v>0.83333333333333337</v>
      </c>
      <c r="P7" s="112">
        <v>0.54167500000000002</v>
      </c>
      <c r="Q7" s="111">
        <v>0.20833333333333337</v>
      </c>
      <c r="R7" s="45">
        <v>1</v>
      </c>
      <c r="S7" s="27">
        <v>1</v>
      </c>
      <c r="T7" s="27">
        <v>0.75</v>
      </c>
      <c r="U7" s="110">
        <v>0.5</v>
      </c>
      <c r="V7" s="45">
        <v>1</v>
      </c>
      <c r="W7" s="27">
        <v>0.75</v>
      </c>
      <c r="X7" s="46">
        <v>1</v>
      </c>
      <c r="Y7" s="45">
        <v>1.0000000000000002</v>
      </c>
      <c r="Z7" s="27">
        <v>1</v>
      </c>
      <c r="AA7" s="46">
        <v>1</v>
      </c>
      <c r="AB7" s="52">
        <v>1</v>
      </c>
      <c r="AC7" s="27">
        <v>1</v>
      </c>
      <c r="AD7" s="27">
        <v>1</v>
      </c>
      <c r="AE7" s="27">
        <v>0.5</v>
      </c>
      <c r="AF7" s="27">
        <v>0.66</v>
      </c>
      <c r="AG7" s="46">
        <v>0.5</v>
      </c>
      <c r="AH7" s="45">
        <v>0</v>
      </c>
      <c r="AI7" s="27">
        <v>0</v>
      </c>
      <c r="AJ7" s="27">
        <v>0</v>
      </c>
      <c r="AK7" s="27">
        <v>0</v>
      </c>
      <c r="AL7" s="27">
        <v>1</v>
      </c>
      <c r="AM7" s="46">
        <v>1.0000000000000002</v>
      </c>
      <c r="AN7" s="45">
        <v>1</v>
      </c>
      <c r="AO7" s="27">
        <v>1</v>
      </c>
      <c r="AP7" s="46">
        <v>1</v>
      </c>
      <c r="AQ7" s="52">
        <v>1.0000000000000002</v>
      </c>
      <c r="AR7" s="27">
        <v>1</v>
      </c>
      <c r="AS7" s="46">
        <v>0.5</v>
      </c>
      <c r="AT7" s="52">
        <v>0.5</v>
      </c>
      <c r="AU7" s="27">
        <v>1.0000000000000002</v>
      </c>
      <c r="AV7" s="27">
        <v>0.66669999999999996</v>
      </c>
      <c r="AW7" s="110">
        <v>0</v>
      </c>
      <c r="AX7" s="45">
        <v>0.33333333333333343</v>
      </c>
      <c r="AY7" s="27">
        <v>0.50000000000000011</v>
      </c>
      <c r="AZ7" s="27">
        <v>0</v>
      </c>
      <c r="BA7" s="46">
        <v>0</v>
      </c>
    </row>
    <row r="8" spans="1:53" s="13" customFormat="1" x14ac:dyDescent="0.2">
      <c r="A8" s="12">
        <v>2025</v>
      </c>
      <c r="B8" s="11" t="s">
        <v>104</v>
      </c>
      <c r="C8" s="12" t="s">
        <v>53</v>
      </c>
      <c r="D8" s="108">
        <f t="shared" si="0"/>
        <v>0.66167881944444429</v>
      </c>
      <c r="E8" s="112">
        <v>0.72916666666666663</v>
      </c>
      <c r="F8" s="112">
        <v>0.86083333333333334</v>
      </c>
      <c r="G8" s="113">
        <v>0.62962777777777768</v>
      </c>
      <c r="H8" s="111">
        <v>0.42708750000000001</v>
      </c>
      <c r="I8" s="112">
        <v>0.875</v>
      </c>
      <c r="J8" s="114">
        <v>0.58333333333333326</v>
      </c>
      <c r="K8" s="112">
        <v>1</v>
      </c>
      <c r="L8" s="111">
        <v>0.72166666666666668</v>
      </c>
      <c r="M8" s="112">
        <v>0.55554999999999999</v>
      </c>
      <c r="N8" s="113">
        <v>0.33333333333333331</v>
      </c>
      <c r="O8" s="111">
        <v>1</v>
      </c>
      <c r="P8" s="112">
        <v>0.5625</v>
      </c>
      <c r="Q8" s="111">
        <v>0.29167500000000002</v>
      </c>
      <c r="R8" s="45">
        <v>1</v>
      </c>
      <c r="S8" s="27">
        <v>1</v>
      </c>
      <c r="T8" s="27">
        <v>1</v>
      </c>
      <c r="U8" s="110">
        <v>0.5</v>
      </c>
      <c r="V8" s="45">
        <v>1</v>
      </c>
      <c r="W8" s="27">
        <v>0.25</v>
      </c>
      <c r="X8" s="46">
        <v>0.5</v>
      </c>
      <c r="Y8" s="45">
        <v>1.0000000000000002</v>
      </c>
      <c r="Z8" s="27">
        <v>1</v>
      </c>
      <c r="AA8" s="46">
        <v>1</v>
      </c>
      <c r="AB8" s="52">
        <v>0.75</v>
      </c>
      <c r="AC8" s="27">
        <v>1</v>
      </c>
      <c r="AD8" s="27">
        <v>0.75</v>
      </c>
      <c r="AE8" s="27">
        <v>0.75</v>
      </c>
      <c r="AF8" s="27">
        <v>0.33</v>
      </c>
      <c r="AG8" s="46">
        <v>0.75</v>
      </c>
      <c r="AH8" s="45">
        <v>1</v>
      </c>
      <c r="AI8" s="27">
        <v>0</v>
      </c>
      <c r="AJ8" s="27">
        <v>0.33329999999999999</v>
      </c>
      <c r="AK8" s="27">
        <v>0</v>
      </c>
      <c r="AL8" s="27">
        <v>1</v>
      </c>
      <c r="AM8" s="46">
        <v>1</v>
      </c>
      <c r="AN8" s="45">
        <v>1</v>
      </c>
      <c r="AO8" s="27">
        <v>0</v>
      </c>
      <c r="AP8" s="46">
        <v>0</v>
      </c>
      <c r="AQ8" s="52">
        <v>1.0000000000000002</v>
      </c>
      <c r="AR8" s="27">
        <v>1</v>
      </c>
      <c r="AS8" s="46">
        <v>1</v>
      </c>
      <c r="AT8" s="52">
        <v>0.25</v>
      </c>
      <c r="AU8" s="27">
        <v>1</v>
      </c>
      <c r="AV8" s="27">
        <v>1.0000000000000002</v>
      </c>
      <c r="AW8" s="110">
        <v>0</v>
      </c>
      <c r="AX8" s="45">
        <v>0.66669999999999996</v>
      </c>
      <c r="AY8" s="27">
        <v>0.5</v>
      </c>
      <c r="AZ8" s="27">
        <v>0</v>
      </c>
      <c r="BA8" s="46">
        <v>0</v>
      </c>
    </row>
    <row r="9" spans="1:53" s="13" customFormat="1" x14ac:dyDescent="0.2">
      <c r="A9" s="12">
        <v>2025</v>
      </c>
      <c r="B9" s="11" t="s">
        <v>115</v>
      </c>
      <c r="C9" s="12" t="s">
        <v>55</v>
      </c>
      <c r="D9" s="108">
        <f t="shared" si="0"/>
        <v>0.65878576388888876</v>
      </c>
      <c r="E9" s="112">
        <v>0.71875</v>
      </c>
      <c r="F9" s="112">
        <v>0.8191666666666666</v>
      </c>
      <c r="G9" s="113">
        <v>0.63888888888888884</v>
      </c>
      <c r="H9" s="111">
        <v>0.45833750000000006</v>
      </c>
      <c r="I9" s="112">
        <v>0.6875</v>
      </c>
      <c r="J9" s="114">
        <v>0.75</v>
      </c>
      <c r="K9" s="112">
        <v>1</v>
      </c>
      <c r="L9" s="111">
        <v>0.63833333333333331</v>
      </c>
      <c r="M9" s="112">
        <v>0.33333333333333337</v>
      </c>
      <c r="N9" s="113">
        <v>1</v>
      </c>
      <c r="O9" s="111">
        <v>0.58333333333333337</v>
      </c>
      <c r="P9" s="112">
        <v>0.62500000000000011</v>
      </c>
      <c r="Q9" s="111">
        <v>0.29167500000000002</v>
      </c>
      <c r="R9" s="45">
        <v>1</v>
      </c>
      <c r="S9" s="27">
        <v>1</v>
      </c>
      <c r="T9" s="27">
        <v>0.5</v>
      </c>
      <c r="U9" s="110">
        <v>0.25</v>
      </c>
      <c r="V9" s="45">
        <v>1</v>
      </c>
      <c r="W9" s="27">
        <v>0.25</v>
      </c>
      <c r="X9" s="46">
        <v>1</v>
      </c>
      <c r="Y9" s="45">
        <v>1.0000000000000002</v>
      </c>
      <c r="Z9" s="27">
        <v>1.0000000000000002</v>
      </c>
      <c r="AA9" s="46">
        <v>1</v>
      </c>
      <c r="AB9" s="52">
        <v>0.5</v>
      </c>
      <c r="AC9" s="27">
        <v>1</v>
      </c>
      <c r="AD9" s="27">
        <v>1</v>
      </c>
      <c r="AE9" s="27">
        <v>0.5</v>
      </c>
      <c r="AF9" s="27">
        <v>0.33</v>
      </c>
      <c r="AG9" s="46">
        <v>0.5</v>
      </c>
      <c r="AH9" s="45">
        <v>0</v>
      </c>
      <c r="AI9" s="27">
        <v>0</v>
      </c>
      <c r="AJ9" s="27">
        <v>0</v>
      </c>
      <c r="AK9" s="27">
        <v>0</v>
      </c>
      <c r="AL9" s="27">
        <v>1</v>
      </c>
      <c r="AM9" s="46">
        <v>1.0000000000000004</v>
      </c>
      <c r="AN9" s="45">
        <v>1.0000000000000002</v>
      </c>
      <c r="AO9" s="27">
        <v>1</v>
      </c>
      <c r="AP9" s="46">
        <v>1</v>
      </c>
      <c r="AQ9" s="52">
        <v>1.0000000000000002</v>
      </c>
      <c r="AR9" s="27">
        <v>0.5</v>
      </c>
      <c r="AS9" s="46">
        <v>0.25</v>
      </c>
      <c r="AT9" s="52">
        <v>0.5</v>
      </c>
      <c r="AU9" s="27">
        <v>1.0000000000000002</v>
      </c>
      <c r="AV9" s="27">
        <v>1.0000000000000002</v>
      </c>
      <c r="AW9" s="110">
        <v>0</v>
      </c>
      <c r="AX9" s="45">
        <v>0.66669999999999996</v>
      </c>
      <c r="AY9" s="27">
        <v>0.5</v>
      </c>
      <c r="AZ9" s="27">
        <v>0</v>
      </c>
      <c r="BA9" s="46">
        <v>0</v>
      </c>
    </row>
    <row r="10" spans="1:53" s="13" customFormat="1" x14ac:dyDescent="0.2">
      <c r="A10" s="12">
        <v>2025</v>
      </c>
      <c r="B10" s="11" t="s">
        <v>110</v>
      </c>
      <c r="C10" s="12" t="s">
        <v>55</v>
      </c>
      <c r="D10" s="108">
        <f t="shared" si="0"/>
        <v>0.65089131944444445</v>
      </c>
      <c r="E10" s="112">
        <v>0.90333333333333332</v>
      </c>
      <c r="F10" s="112">
        <v>0.45486111111111105</v>
      </c>
      <c r="G10" s="113">
        <v>0.87036666666666651</v>
      </c>
      <c r="H10" s="111">
        <v>0.37500416666666664</v>
      </c>
      <c r="I10" s="112">
        <v>1</v>
      </c>
      <c r="J10" s="114">
        <v>0.80666666666666664</v>
      </c>
      <c r="K10" s="112">
        <v>0.33333333333333331</v>
      </c>
      <c r="L10" s="111">
        <v>0.57638888888888884</v>
      </c>
      <c r="M10" s="112">
        <v>0.94443333333333324</v>
      </c>
      <c r="N10" s="113">
        <v>0.66666666666666663</v>
      </c>
      <c r="O10" s="111">
        <v>1</v>
      </c>
      <c r="P10" s="112">
        <v>0.39583333333333337</v>
      </c>
      <c r="Q10" s="111">
        <v>0.35417499999999991</v>
      </c>
      <c r="R10" s="45">
        <v>1</v>
      </c>
      <c r="S10" s="27">
        <v>1</v>
      </c>
      <c r="T10" s="27">
        <v>1</v>
      </c>
      <c r="U10" s="110">
        <v>1</v>
      </c>
      <c r="V10" s="45">
        <v>0.67</v>
      </c>
      <c r="W10" s="27">
        <v>0.75</v>
      </c>
      <c r="X10" s="46">
        <v>1</v>
      </c>
      <c r="Y10" s="45">
        <v>1</v>
      </c>
      <c r="Z10" s="27">
        <v>0</v>
      </c>
      <c r="AA10" s="46">
        <v>0</v>
      </c>
      <c r="AB10" s="52">
        <v>0.5</v>
      </c>
      <c r="AC10" s="27">
        <v>1</v>
      </c>
      <c r="AD10" s="27">
        <v>0.875</v>
      </c>
      <c r="AE10" s="27">
        <v>0.5</v>
      </c>
      <c r="AF10" s="27">
        <v>0.33333333333333331</v>
      </c>
      <c r="AG10" s="46">
        <v>0.25</v>
      </c>
      <c r="AH10" s="45">
        <v>1</v>
      </c>
      <c r="AI10" s="27">
        <v>1</v>
      </c>
      <c r="AJ10" s="27">
        <v>0.66659999999999997</v>
      </c>
      <c r="AK10" s="27">
        <v>1</v>
      </c>
      <c r="AL10" s="27">
        <v>1</v>
      </c>
      <c r="AM10" s="46">
        <v>1</v>
      </c>
      <c r="AN10" s="45">
        <v>1</v>
      </c>
      <c r="AO10" s="27">
        <v>1</v>
      </c>
      <c r="AP10" s="46">
        <v>0</v>
      </c>
      <c r="AQ10" s="52">
        <v>1</v>
      </c>
      <c r="AR10" s="27">
        <v>1</v>
      </c>
      <c r="AS10" s="46">
        <v>1</v>
      </c>
      <c r="AT10" s="52">
        <v>0.75</v>
      </c>
      <c r="AU10" s="27">
        <v>0.5</v>
      </c>
      <c r="AV10" s="27">
        <v>0.33333333333333343</v>
      </c>
      <c r="AW10" s="110">
        <v>0</v>
      </c>
      <c r="AX10" s="45">
        <v>0.66669999999999996</v>
      </c>
      <c r="AY10" s="27">
        <v>0.74999999999999967</v>
      </c>
      <c r="AZ10" s="27">
        <v>0</v>
      </c>
      <c r="BA10" s="46">
        <v>0</v>
      </c>
    </row>
    <row r="11" spans="1:53" s="13" customFormat="1" x14ac:dyDescent="0.2">
      <c r="A11" s="12">
        <v>2025</v>
      </c>
      <c r="B11" s="11" t="s">
        <v>126</v>
      </c>
      <c r="C11" s="12" t="s">
        <v>53</v>
      </c>
      <c r="D11" s="108">
        <f t="shared" si="0"/>
        <v>0.63730381944444447</v>
      </c>
      <c r="E11" s="112">
        <v>0.80208333333333326</v>
      </c>
      <c r="F11" s="112">
        <v>0.77374999999999994</v>
      </c>
      <c r="G11" s="113">
        <v>0.62962777777777768</v>
      </c>
      <c r="H11" s="111">
        <v>0.34375416666666669</v>
      </c>
      <c r="I11" s="112">
        <v>0.6875</v>
      </c>
      <c r="J11" s="114">
        <v>0.91666666666666652</v>
      </c>
      <c r="K11" s="112">
        <v>1</v>
      </c>
      <c r="L11" s="111">
        <v>0.54749999999999999</v>
      </c>
      <c r="M11" s="112">
        <v>0.22221666666666667</v>
      </c>
      <c r="N11" s="113">
        <v>1</v>
      </c>
      <c r="O11" s="111">
        <v>0.66666666666666663</v>
      </c>
      <c r="P11" s="112">
        <v>0.54167500000000002</v>
      </c>
      <c r="Q11" s="111">
        <v>0.14583333333333337</v>
      </c>
      <c r="R11" s="45">
        <v>1</v>
      </c>
      <c r="S11" s="27">
        <v>1</v>
      </c>
      <c r="T11" s="27">
        <v>0.75</v>
      </c>
      <c r="U11" s="110">
        <v>0</v>
      </c>
      <c r="V11" s="45">
        <v>1</v>
      </c>
      <c r="W11" s="27">
        <v>0.75</v>
      </c>
      <c r="X11" s="46">
        <v>1</v>
      </c>
      <c r="Y11" s="45">
        <v>1</v>
      </c>
      <c r="Z11" s="27">
        <v>1</v>
      </c>
      <c r="AA11" s="46">
        <v>1</v>
      </c>
      <c r="AB11" s="52">
        <v>0.5</v>
      </c>
      <c r="AC11" s="27">
        <v>1</v>
      </c>
      <c r="AD11" s="27">
        <v>0.625</v>
      </c>
      <c r="AE11" s="27">
        <v>0.25</v>
      </c>
      <c r="AF11" s="27">
        <v>0.66</v>
      </c>
      <c r="AG11" s="46">
        <v>0.25</v>
      </c>
      <c r="AH11" s="45">
        <v>0.28570000000000001</v>
      </c>
      <c r="AI11" s="27">
        <v>0</v>
      </c>
      <c r="AJ11" s="27">
        <v>4.7600000000000003E-2</v>
      </c>
      <c r="AK11" s="27">
        <v>0</v>
      </c>
      <c r="AL11" s="27">
        <v>0</v>
      </c>
      <c r="AM11" s="46">
        <v>1</v>
      </c>
      <c r="AN11" s="45">
        <v>1.0000000000000002</v>
      </c>
      <c r="AO11" s="27">
        <v>1</v>
      </c>
      <c r="AP11" s="46">
        <v>1.0000000000000002</v>
      </c>
      <c r="AQ11" s="52">
        <v>1</v>
      </c>
      <c r="AR11" s="27">
        <v>0.5</v>
      </c>
      <c r="AS11" s="46">
        <v>0.5</v>
      </c>
      <c r="AT11" s="52">
        <v>0.5</v>
      </c>
      <c r="AU11" s="27">
        <v>0.99999999999999989</v>
      </c>
      <c r="AV11" s="27">
        <v>0.66669999999999996</v>
      </c>
      <c r="AW11" s="110">
        <v>0</v>
      </c>
      <c r="AX11" s="45">
        <v>0.33333333333333343</v>
      </c>
      <c r="AY11" s="27">
        <v>0.25</v>
      </c>
      <c r="AZ11" s="27">
        <v>0</v>
      </c>
      <c r="BA11" s="46">
        <v>0</v>
      </c>
    </row>
    <row r="12" spans="1:53" s="13" customFormat="1" x14ac:dyDescent="0.2">
      <c r="A12" s="12">
        <v>2025</v>
      </c>
      <c r="B12" s="11" t="s">
        <v>108</v>
      </c>
      <c r="C12" s="12" t="s">
        <v>53</v>
      </c>
      <c r="D12" s="108">
        <f t="shared" si="0"/>
        <v>0.63310347222222219</v>
      </c>
      <c r="E12" s="112">
        <v>0.70541666666666669</v>
      </c>
      <c r="F12" s="112">
        <v>0.61749999999999994</v>
      </c>
      <c r="G12" s="113">
        <v>0.82407222222222209</v>
      </c>
      <c r="H12" s="111">
        <v>0.38542500000000002</v>
      </c>
      <c r="I12" s="112">
        <v>0.6875</v>
      </c>
      <c r="J12" s="114">
        <v>0.72333333333333338</v>
      </c>
      <c r="K12" s="112">
        <v>0.66666666666666663</v>
      </c>
      <c r="L12" s="111">
        <v>0.56833333333333336</v>
      </c>
      <c r="M12" s="112">
        <v>0.88888333333333325</v>
      </c>
      <c r="N12" s="113">
        <v>1</v>
      </c>
      <c r="O12" s="111">
        <v>0.58333333333333337</v>
      </c>
      <c r="P12" s="112">
        <v>0.54167500000000002</v>
      </c>
      <c r="Q12" s="111">
        <v>0.22917499999999999</v>
      </c>
      <c r="R12" s="45">
        <v>1</v>
      </c>
      <c r="S12" s="27">
        <v>1</v>
      </c>
      <c r="T12" s="27">
        <v>0.5</v>
      </c>
      <c r="U12" s="110">
        <v>0.25</v>
      </c>
      <c r="V12" s="45">
        <v>0.67</v>
      </c>
      <c r="W12" s="27">
        <v>0.5</v>
      </c>
      <c r="X12" s="46">
        <v>1</v>
      </c>
      <c r="Y12" s="45">
        <v>1</v>
      </c>
      <c r="Z12" s="27">
        <v>0</v>
      </c>
      <c r="AA12" s="46">
        <v>1</v>
      </c>
      <c r="AB12" s="52">
        <v>0.25</v>
      </c>
      <c r="AC12" s="27">
        <v>1</v>
      </c>
      <c r="AD12" s="27">
        <v>1</v>
      </c>
      <c r="AE12" s="27">
        <v>0.25</v>
      </c>
      <c r="AF12" s="27">
        <v>0.66</v>
      </c>
      <c r="AG12" s="46">
        <v>0.25</v>
      </c>
      <c r="AH12" s="45">
        <v>1</v>
      </c>
      <c r="AI12" s="27">
        <v>1</v>
      </c>
      <c r="AJ12" s="27">
        <v>0.33329999999999999</v>
      </c>
      <c r="AK12" s="27">
        <v>1</v>
      </c>
      <c r="AL12" s="27">
        <v>1</v>
      </c>
      <c r="AM12" s="46">
        <v>1</v>
      </c>
      <c r="AN12" s="45">
        <v>1.0000000000000002</v>
      </c>
      <c r="AO12" s="27">
        <v>1</v>
      </c>
      <c r="AP12" s="46">
        <v>1</v>
      </c>
      <c r="AQ12" s="52">
        <v>1</v>
      </c>
      <c r="AR12" s="27">
        <v>0.5</v>
      </c>
      <c r="AS12" s="46">
        <v>0.25</v>
      </c>
      <c r="AT12" s="52">
        <v>0.5</v>
      </c>
      <c r="AU12" s="27">
        <v>0.99999999999999989</v>
      </c>
      <c r="AV12" s="27">
        <v>0.66669999999999996</v>
      </c>
      <c r="AW12" s="110">
        <v>0</v>
      </c>
      <c r="AX12" s="45">
        <v>0.66669999999999996</v>
      </c>
      <c r="AY12" s="27">
        <v>0.25</v>
      </c>
      <c r="AZ12" s="27">
        <v>0</v>
      </c>
      <c r="BA12" s="46">
        <v>0</v>
      </c>
    </row>
    <row r="13" spans="1:53" s="13" customFormat="1" x14ac:dyDescent="0.2">
      <c r="A13" s="12">
        <v>2025</v>
      </c>
      <c r="B13" s="11" t="s">
        <v>119</v>
      </c>
      <c r="C13" s="12" t="s">
        <v>55</v>
      </c>
      <c r="D13" s="108">
        <f t="shared" si="0"/>
        <v>0.62138888888888888</v>
      </c>
      <c r="E13" s="112">
        <v>0.63541666666666663</v>
      </c>
      <c r="F13" s="112">
        <v>0.87791666666666668</v>
      </c>
      <c r="G13" s="113">
        <v>0.55555555555555558</v>
      </c>
      <c r="H13" s="111">
        <v>0.41666666666666669</v>
      </c>
      <c r="I13" s="112">
        <v>0.9375</v>
      </c>
      <c r="J13" s="114">
        <v>0.33333333333333331</v>
      </c>
      <c r="K13" s="112">
        <v>1</v>
      </c>
      <c r="L13" s="111">
        <v>0.75583333333333325</v>
      </c>
      <c r="M13" s="112">
        <v>0.33333333333333331</v>
      </c>
      <c r="N13" s="113">
        <v>0.33333333333333331</v>
      </c>
      <c r="O13" s="111">
        <v>1</v>
      </c>
      <c r="P13" s="112">
        <v>0.625</v>
      </c>
      <c r="Q13" s="111">
        <v>0.20833333333333337</v>
      </c>
      <c r="R13" s="45">
        <v>1</v>
      </c>
      <c r="S13" s="27">
        <v>1</v>
      </c>
      <c r="T13" s="27">
        <v>1</v>
      </c>
      <c r="U13" s="110">
        <v>0.75</v>
      </c>
      <c r="V13" s="45">
        <v>0</v>
      </c>
      <c r="W13" s="27">
        <v>0.5</v>
      </c>
      <c r="X13" s="46">
        <v>0.5</v>
      </c>
      <c r="Y13" s="45">
        <v>1</v>
      </c>
      <c r="Z13" s="27">
        <v>1</v>
      </c>
      <c r="AA13" s="46">
        <v>1</v>
      </c>
      <c r="AB13" s="52">
        <v>0.75</v>
      </c>
      <c r="AC13" s="27">
        <v>1</v>
      </c>
      <c r="AD13" s="27">
        <v>0.625</v>
      </c>
      <c r="AE13" s="27">
        <v>0.75</v>
      </c>
      <c r="AF13" s="27">
        <v>0.66</v>
      </c>
      <c r="AG13" s="46">
        <v>0.75</v>
      </c>
      <c r="AH13" s="45">
        <v>0</v>
      </c>
      <c r="AI13" s="27">
        <v>0</v>
      </c>
      <c r="AJ13" s="27">
        <v>0</v>
      </c>
      <c r="AK13" s="27">
        <v>0</v>
      </c>
      <c r="AL13" s="27">
        <v>1</v>
      </c>
      <c r="AM13" s="46">
        <v>1</v>
      </c>
      <c r="AN13" s="45">
        <v>1</v>
      </c>
      <c r="AO13" s="27">
        <v>0</v>
      </c>
      <c r="AP13" s="46">
        <v>0</v>
      </c>
      <c r="AQ13" s="52">
        <v>1.0000000000000002</v>
      </c>
      <c r="AR13" s="27">
        <v>1</v>
      </c>
      <c r="AS13" s="46">
        <v>1</v>
      </c>
      <c r="AT13" s="52">
        <v>0.5</v>
      </c>
      <c r="AU13" s="27">
        <v>1</v>
      </c>
      <c r="AV13" s="27">
        <v>1.0000000000000002</v>
      </c>
      <c r="AW13" s="110">
        <v>0</v>
      </c>
      <c r="AX13" s="45">
        <v>0.33333333333333343</v>
      </c>
      <c r="AY13" s="27">
        <v>0.50000000000000011</v>
      </c>
      <c r="AZ13" s="27">
        <v>0</v>
      </c>
      <c r="BA13" s="46">
        <v>0</v>
      </c>
    </row>
    <row r="14" spans="1:53" s="13" customFormat="1" x14ac:dyDescent="0.2">
      <c r="A14" s="12">
        <v>2025</v>
      </c>
      <c r="B14" s="11" t="s">
        <v>103</v>
      </c>
      <c r="C14" s="12" t="s">
        <v>53</v>
      </c>
      <c r="D14" s="108">
        <f t="shared" si="0"/>
        <v>0.59810243055555556</v>
      </c>
      <c r="E14" s="112">
        <v>0.61749999999999994</v>
      </c>
      <c r="F14" s="112">
        <v>0.77374999999999994</v>
      </c>
      <c r="G14" s="113">
        <v>0.65740555555555547</v>
      </c>
      <c r="H14" s="111">
        <v>0.34375416666666669</v>
      </c>
      <c r="I14" s="112">
        <v>0.875</v>
      </c>
      <c r="J14" s="114">
        <v>0.36</v>
      </c>
      <c r="K14" s="112">
        <v>0.66666666666666663</v>
      </c>
      <c r="L14" s="111">
        <v>0.88083333333333325</v>
      </c>
      <c r="M14" s="112">
        <v>0.72221666666666662</v>
      </c>
      <c r="N14" s="113">
        <v>0.66666666666666663</v>
      </c>
      <c r="O14" s="111">
        <v>0.58333333333333337</v>
      </c>
      <c r="P14" s="112">
        <v>0.54167500000000002</v>
      </c>
      <c r="Q14" s="111">
        <v>0.14583333333333337</v>
      </c>
      <c r="R14" s="45">
        <v>1</v>
      </c>
      <c r="S14" s="27">
        <v>1</v>
      </c>
      <c r="T14" s="27">
        <v>0.75</v>
      </c>
      <c r="U14" s="110">
        <v>0.75</v>
      </c>
      <c r="V14" s="45">
        <v>0.33</v>
      </c>
      <c r="W14" s="27">
        <v>0.25</v>
      </c>
      <c r="X14" s="46">
        <v>0.5</v>
      </c>
      <c r="Y14" s="45">
        <v>1</v>
      </c>
      <c r="Z14" s="27">
        <v>0</v>
      </c>
      <c r="AA14" s="46">
        <v>1</v>
      </c>
      <c r="AB14" s="52">
        <v>1</v>
      </c>
      <c r="AC14" s="27">
        <v>1</v>
      </c>
      <c r="AD14" s="27">
        <v>0.875</v>
      </c>
      <c r="AE14" s="27">
        <v>1</v>
      </c>
      <c r="AF14" s="27">
        <v>0.66</v>
      </c>
      <c r="AG14" s="46">
        <v>0.75</v>
      </c>
      <c r="AH14" s="45">
        <v>0</v>
      </c>
      <c r="AI14" s="27">
        <v>1</v>
      </c>
      <c r="AJ14" s="27">
        <v>0.33329999999999999</v>
      </c>
      <c r="AK14" s="27">
        <v>1</v>
      </c>
      <c r="AL14" s="27">
        <v>1</v>
      </c>
      <c r="AM14" s="46">
        <v>1</v>
      </c>
      <c r="AN14" s="45">
        <v>1</v>
      </c>
      <c r="AO14" s="27">
        <v>1</v>
      </c>
      <c r="AP14" s="46">
        <v>0</v>
      </c>
      <c r="AQ14" s="52">
        <v>1</v>
      </c>
      <c r="AR14" s="27">
        <v>0.5</v>
      </c>
      <c r="AS14" s="46">
        <v>0.25</v>
      </c>
      <c r="AT14" s="52">
        <v>0.5</v>
      </c>
      <c r="AU14" s="27">
        <v>0.99999999999999989</v>
      </c>
      <c r="AV14" s="27">
        <v>0.66669999999999996</v>
      </c>
      <c r="AW14" s="110">
        <v>0</v>
      </c>
      <c r="AX14" s="45">
        <v>0.33333333333333343</v>
      </c>
      <c r="AY14" s="27">
        <v>0.25</v>
      </c>
      <c r="AZ14" s="27">
        <v>0</v>
      </c>
      <c r="BA14" s="46">
        <v>0</v>
      </c>
    </row>
    <row r="15" spans="1:53" s="13" customFormat="1" x14ac:dyDescent="0.2">
      <c r="A15" s="12">
        <v>2025</v>
      </c>
      <c r="B15" s="11" t="s">
        <v>125</v>
      </c>
      <c r="C15" s="12" t="s">
        <v>53</v>
      </c>
      <c r="D15" s="108">
        <f t="shared" si="0"/>
        <v>0.57130659722222221</v>
      </c>
      <c r="E15" s="112">
        <v>0.59666666666666668</v>
      </c>
      <c r="F15" s="112">
        <v>0.8191666666666666</v>
      </c>
      <c r="G15" s="113">
        <v>0.44230555555555551</v>
      </c>
      <c r="H15" s="111">
        <v>0.42708750000000001</v>
      </c>
      <c r="I15" s="112">
        <v>0.75</v>
      </c>
      <c r="J15" s="114">
        <v>0.44333333333333336</v>
      </c>
      <c r="K15" s="112">
        <v>1</v>
      </c>
      <c r="L15" s="111">
        <v>0.63833333333333331</v>
      </c>
      <c r="M15" s="112">
        <v>0.41025</v>
      </c>
      <c r="N15" s="113">
        <v>0.33333333333333337</v>
      </c>
      <c r="O15" s="111">
        <v>0.58333333333333337</v>
      </c>
      <c r="P15" s="112">
        <v>0.625</v>
      </c>
      <c r="Q15" s="111">
        <v>0.22917499999999999</v>
      </c>
      <c r="R15" s="45">
        <v>1</v>
      </c>
      <c r="S15" s="27">
        <v>1</v>
      </c>
      <c r="T15" s="27">
        <v>0.5</v>
      </c>
      <c r="U15" s="110">
        <v>0.5</v>
      </c>
      <c r="V15" s="45">
        <v>0.33</v>
      </c>
      <c r="W15" s="27">
        <v>0.5</v>
      </c>
      <c r="X15" s="46">
        <v>0.5</v>
      </c>
      <c r="Y15" s="45">
        <v>1</v>
      </c>
      <c r="Z15" s="27">
        <v>1</v>
      </c>
      <c r="AA15" s="46">
        <v>1</v>
      </c>
      <c r="AB15" s="52">
        <v>0.5</v>
      </c>
      <c r="AC15" s="27">
        <v>1</v>
      </c>
      <c r="AD15" s="27">
        <v>1</v>
      </c>
      <c r="AE15" s="27">
        <v>0.75</v>
      </c>
      <c r="AF15" s="27">
        <v>0.33</v>
      </c>
      <c r="AG15" s="46">
        <v>0.25</v>
      </c>
      <c r="AH15" s="45">
        <v>0.3846</v>
      </c>
      <c r="AI15" s="27">
        <v>7.6899999999999996E-2</v>
      </c>
      <c r="AJ15" s="27">
        <v>0</v>
      </c>
      <c r="AK15" s="27">
        <v>0</v>
      </c>
      <c r="AL15" s="27">
        <v>1</v>
      </c>
      <c r="AM15" s="46">
        <v>1</v>
      </c>
      <c r="AN15" s="45">
        <v>1.0000000000000002</v>
      </c>
      <c r="AO15" s="27">
        <v>0</v>
      </c>
      <c r="AP15" s="46">
        <v>0</v>
      </c>
      <c r="AQ15" s="52">
        <v>1</v>
      </c>
      <c r="AR15" s="27">
        <v>0.5</v>
      </c>
      <c r="AS15" s="46">
        <v>0.25</v>
      </c>
      <c r="AT15" s="52">
        <v>0.5</v>
      </c>
      <c r="AU15" s="27">
        <v>0.99999999999999989</v>
      </c>
      <c r="AV15" s="27">
        <v>1</v>
      </c>
      <c r="AW15" s="110">
        <v>0</v>
      </c>
      <c r="AX15" s="45">
        <v>0.66669999999999996</v>
      </c>
      <c r="AY15" s="27">
        <v>0.25</v>
      </c>
      <c r="AZ15" s="27">
        <v>0</v>
      </c>
      <c r="BA15" s="46">
        <v>0</v>
      </c>
    </row>
    <row r="16" spans="1:53" s="13" customFormat="1" x14ac:dyDescent="0.2">
      <c r="A16" s="12">
        <v>2025</v>
      </c>
      <c r="B16" s="11" t="s">
        <v>116</v>
      </c>
      <c r="C16" s="12" t="s">
        <v>55</v>
      </c>
      <c r="D16" s="108">
        <f t="shared" si="0"/>
        <v>0.57097326388888892</v>
      </c>
      <c r="E16" s="112">
        <v>0.47166666666666668</v>
      </c>
      <c r="F16" s="112">
        <v>0.79833333333333334</v>
      </c>
      <c r="G16" s="113">
        <v>0.63888888888888884</v>
      </c>
      <c r="H16" s="111">
        <v>0.37500416666666669</v>
      </c>
      <c r="I16" s="112">
        <v>0.75</v>
      </c>
      <c r="J16" s="114">
        <v>0.19333333333333333</v>
      </c>
      <c r="K16" s="112">
        <v>1</v>
      </c>
      <c r="L16" s="111">
        <v>0.59666666666666657</v>
      </c>
      <c r="M16" s="112">
        <v>0.33333333333333331</v>
      </c>
      <c r="N16" s="113">
        <v>1</v>
      </c>
      <c r="O16" s="111">
        <v>0.58333333333333337</v>
      </c>
      <c r="P16" s="112">
        <v>0.60417500000000002</v>
      </c>
      <c r="Q16" s="111">
        <v>0.14583333333333337</v>
      </c>
      <c r="R16" s="45">
        <v>1</v>
      </c>
      <c r="S16" s="27">
        <v>1</v>
      </c>
      <c r="T16" s="27">
        <v>0.75</v>
      </c>
      <c r="U16" s="110">
        <v>0.25</v>
      </c>
      <c r="V16" s="45">
        <v>0.33</v>
      </c>
      <c r="W16" s="27">
        <v>0.25</v>
      </c>
      <c r="X16" s="46">
        <v>0</v>
      </c>
      <c r="Y16" s="45">
        <v>1</v>
      </c>
      <c r="Z16" s="27">
        <v>1.0000000000000002</v>
      </c>
      <c r="AA16" s="46">
        <v>1</v>
      </c>
      <c r="AB16" s="52">
        <v>0.5</v>
      </c>
      <c r="AC16" s="27">
        <v>1</v>
      </c>
      <c r="AD16" s="27">
        <v>1</v>
      </c>
      <c r="AE16" s="27">
        <v>0.5</v>
      </c>
      <c r="AF16" s="27">
        <v>0.33</v>
      </c>
      <c r="AG16" s="46">
        <v>0.25</v>
      </c>
      <c r="AH16" s="45">
        <v>0</v>
      </c>
      <c r="AI16" s="27">
        <v>0</v>
      </c>
      <c r="AJ16" s="27">
        <v>0</v>
      </c>
      <c r="AK16" s="27">
        <v>0</v>
      </c>
      <c r="AL16" s="27">
        <v>1</v>
      </c>
      <c r="AM16" s="46">
        <v>1</v>
      </c>
      <c r="AN16" s="45">
        <v>1.0000000000000002</v>
      </c>
      <c r="AO16" s="27">
        <v>1</v>
      </c>
      <c r="AP16" s="46">
        <v>1.0000000000000002</v>
      </c>
      <c r="AQ16" s="52">
        <v>1</v>
      </c>
      <c r="AR16" s="27">
        <v>0.5</v>
      </c>
      <c r="AS16" s="46">
        <v>0.25</v>
      </c>
      <c r="AT16" s="52">
        <v>0.75</v>
      </c>
      <c r="AU16" s="27">
        <v>0.99999999999999989</v>
      </c>
      <c r="AV16" s="27">
        <v>0.66669999999999996</v>
      </c>
      <c r="AW16" s="110">
        <v>0</v>
      </c>
      <c r="AX16" s="45">
        <v>0.33333333333333343</v>
      </c>
      <c r="AY16" s="27">
        <v>0.25</v>
      </c>
      <c r="AZ16" s="27">
        <v>0</v>
      </c>
      <c r="BA16" s="46">
        <v>0</v>
      </c>
    </row>
    <row r="17" spans="1:53" s="13" customFormat="1" x14ac:dyDescent="0.2">
      <c r="A17" s="12">
        <v>2025</v>
      </c>
      <c r="B17" s="11" t="s">
        <v>109</v>
      </c>
      <c r="C17" s="12" t="s">
        <v>55</v>
      </c>
      <c r="D17" s="108">
        <f t="shared" si="0"/>
        <v>0.57038298611111105</v>
      </c>
      <c r="E17" s="112">
        <v>0.82000000000000006</v>
      </c>
      <c r="F17" s="112">
        <v>0.42333333333333334</v>
      </c>
      <c r="G17" s="113">
        <v>0.61111111111111105</v>
      </c>
      <c r="H17" s="111">
        <v>0.42708750000000001</v>
      </c>
      <c r="I17" s="112">
        <v>1</v>
      </c>
      <c r="J17" s="114">
        <v>0.64</v>
      </c>
      <c r="K17" s="112">
        <v>0.33333333333333331</v>
      </c>
      <c r="L17" s="111">
        <v>0.51333333333333331</v>
      </c>
      <c r="M17" s="112">
        <v>0.33333333333333337</v>
      </c>
      <c r="N17" s="113">
        <v>1</v>
      </c>
      <c r="O17" s="111">
        <v>0.5</v>
      </c>
      <c r="P17" s="112">
        <v>0.625</v>
      </c>
      <c r="Q17" s="111">
        <v>0.22917499999999999</v>
      </c>
      <c r="R17" s="45">
        <v>1</v>
      </c>
      <c r="S17" s="27">
        <v>1</v>
      </c>
      <c r="T17" s="27">
        <v>1</v>
      </c>
      <c r="U17" s="110">
        <v>1</v>
      </c>
      <c r="V17" s="45">
        <v>0.67</v>
      </c>
      <c r="W17" s="27">
        <v>0.75</v>
      </c>
      <c r="X17" s="46">
        <v>0.5</v>
      </c>
      <c r="Y17" s="45">
        <v>1</v>
      </c>
      <c r="Z17" s="27">
        <v>0</v>
      </c>
      <c r="AA17" s="46">
        <v>0</v>
      </c>
      <c r="AB17" s="52">
        <v>0.25</v>
      </c>
      <c r="AC17" s="27">
        <v>1</v>
      </c>
      <c r="AD17" s="27">
        <v>1</v>
      </c>
      <c r="AE17" s="27">
        <v>0.25</v>
      </c>
      <c r="AF17" s="27">
        <v>0.33</v>
      </c>
      <c r="AG17" s="46">
        <v>0.25</v>
      </c>
      <c r="AH17" s="45">
        <v>0</v>
      </c>
      <c r="AI17" s="27">
        <v>0</v>
      </c>
      <c r="AJ17" s="27">
        <v>0</v>
      </c>
      <c r="AK17" s="27">
        <v>0</v>
      </c>
      <c r="AL17" s="27">
        <v>1</v>
      </c>
      <c r="AM17" s="46">
        <v>1.0000000000000002</v>
      </c>
      <c r="AN17" s="45">
        <v>1</v>
      </c>
      <c r="AO17" s="27">
        <v>1</v>
      </c>
      <c r="AP17" s="46">
        <v>1</v>
      </c>
      <c r="AQ17" s="52">
        <v>1</v>
      </c>
      <c r="AR17" s="27">
        <v>0.5</v>
      </c>
      <c r="AS17" s="46">
        <v>0</v>
      </c>
      <c r="AT17" s="52">
        <v>0.5</v>
      </c>
      <c r="AU17" s="27">
        <v>1.0000000000000002</v>
      </c>
      <c r="AV17" s="27">
        <v>1</v>
      </c>
      <c r="AW17" s="110">
        <v>0</v>
      </c>
      <c r="AX17" s="45">
        <v>0.66669999999999996</v>
      </c>
      <c r="AY17" s="27">
        <v>0.25</v>
      </c>
      <c r="AZ17" s="27">
        <v>0</v>
      </c>
      <c r="BA17" s="46">
        <v>0</v>
      </c>
    </row>
    <row r="18" spans="1:53" s="13" customFormat="1" x14ac:dyDescent="0.2">
      <c r="A18" s="12">
        <v>2025</v>
      </c>
      <c r="B18" s="11" t="s">
        <v>132</v>
      </c>
      <c r="C18" s="12" t="s">
        <v>53</v>
      </c>
      <c r="D18" s="108">
        <f t="shared" si="0"/>
        <v>0.55982847222222221</v>
      </c>
      <c r="E18" s="112">
        <v>0.64583333333333326</v>
      </c>
      <c r="F18" s="112">
        <v>0.8191666666666666</v>
      </c>
      <c r="G18" s="113">
        <v>0.38888888888888884</v>
      </c>
      <c r="H18" s="111">
        <v>0.38542500000000002</v>
      </c>
      <c r="I18" s="112">
        <v>0.875</v>
      </c>
      <c r="J18" s="114">
        <v>0.41666666666666663</v>
      </c>
      <c r="K18" s="112">
        <v>1</v>
      </c>
      <c r="L18" s="111">
        <v>0.63833333333333331</v>
      </c>
      <c r="M18" s="112">
        <v>0.33333333333333331</v>
      </c>
      <c r="N18" s="113">
        <v>0.33333333333333331</v>
      </c>
      <c r="O18" s="111">
        <v>0.5</v>
      </c>
      <c r="P18" s="112">
        <v>0.54167500000000002</v>
      </c>
      <c r="Q18" s="111">
        <v>0.22917499999999999</v>
      </c>
      <c r="R18" s="45">
        <v>1</v>
      </c>
      <c r="S18" s="27">
        <v>1</v>
      </c>
      <c r="T18" s="27">
        <v>1</v>
      </c>
      <c r="U18" s="110">
        <v>0.5</v>
      </c>
      <c r="V18" s="45">
        <v>0</v>
      </c>
      <c r="W18" s="27">
        <v>0.25</v>
      </c>
      <c r="X18" s="46">
        <v>1</v>
      </c>
      <c r="Y18" s="45">
        <v>1</v>
      </c>
      <c r="Z18" s="27">
        <v>1</v>
      </c>
      <c r="AA18" s="46">
        <v>1</v>
      </c>
      <c r="AB18" s="52">
        <v>0.5</v>
      </c>
      <c r="AC18" s="27">
        <v>1</v>
      </c>
      <c r="AD18" s="27">
        <v>1</v>
      </c>
      <c r="AE18" s="27">
        <v>0.5</v>
      </c>
      <c r="AF18" s="27">
        <v>0.33</v>
      </c>
      <c r="AG18" s="46">
        <v>0.5</v>
      </c>
      <c r="AH18" s="45">
        <v>0</v>
      </c>
      <c r="AI18" s="27">
        <v>0</v>
      </c>
      <c r="AJ18" s="27">
        <v>0</v>
      </c>
      <c r="AK18" s="27">
        <v>0</v>
      </c>
      <c r="AL18" s="27">
        <v>1</v>
      </c>
      <c r="AM18" s="46">
        <v>1</v>
      </c>
      <c r="AN18" s="45">
        <v>1</v>
      </c>
      <c r="AO18" s="27">
        <v>0</v>
      </c>
      <c r="AP18" s="46">
        <v>0</v>
      </c>
      <c r="AQ18" s="52">
        <v>1</v>
      </c>
      <c r="AR18" s="27">
        <v>0.5</v>
      </c>
      <c r="AS18" s="46">
        <v>0</v>
      </c>
      <c r="AT18" s="52">
        <v>0.5</v>
      </c>
      <c r="AU18" s="27">
        <v>1.0000000000000002</v>
      </c>
      <c r="AV18" s="27">
        <v>0.66669999999999996</v>
      </c>
      <c r="AW18" s="110">
        <v>0</v>
      </c>
      <c r="AX18" s="45">
        <v>0.66669999999999996</v>
      </c>
      <c r="AY18" s="27">
        <v>0.25</v>
      </c>
      <c r="AZ18" s="27">
        <v>0</v>
      </c>
      <c r="BA18" s="46">
        <v>0</v>
      </c>
    </row>
    <row r="19" spans="1:53" s="13" customFormat="1" x14ac:dyDescent="0.2">
      <c r="A19" s="12">
        <v>2025</v>
      </c>
      <c r="B19" s="11" t="s">
        <v>124</v>
      </c>
      <c r="C19" s="12" t="s">
        <v>55</v>
      </c>
      <c r="D19" s="108">
        <f t="shared" si="0"/>
        <v>0.55729166666666663</v>
      </c>
      <c r="E19" s="112">
        <v>0.46875</v>
      </c>
      <c r="F19" s="112">
        <v>0.8125</v>
      </c>
      <c r="G19" s="113">
        <v>0.5</v>
      </c>
      <c r="H19" s="111">
        <v>0.44791666666666669</v>
      </c>
      <c r="I19" s="112">
        <v>0.6875</v>
      </c>
      <c r="J19" s="114">
        <v>0.25</v>
      </c>
      <c r="K19" s="112">
        <v>1</v>
      </c>
      <c r="L19" s="111">
        <v>0.625</v>
      </c>
      <c r="M19" s="112">
        <v>0.33333333333333337</v>
      </c>
      <c r="N19" s="113">
        <v>0.66666666666666663</v>
      </c>
      <c r="O19" s="111">
        <v>0.5</v>
      </c>
      <c r="P19" s="112">
        <v>0.75</v>
      </c>
      <c r="Q19" s="111">
        <v>0.14583333333333337</v>
      </c>
      <c r="R19" s="45">
        <v>1</v>
      </c>
      <c r="S19" s="27">
        <v>1</v>
      </c>
      <c r="T19" s="27">
        <v>0.5</v>
      </c>
      <c r="U19" s="110">
        <v>0.25</v>
      </c>
      <c r="V19" s="45">
        <v>0</v>
      </c>
      <c r="W19" s="27">
        <v>0.25</v>
      </c>
      <c r="X19" s="46">
        <v>0.5</v>
      </c>
      <c r="Y19" s="45">
        <v>1</v>
      </c>
      <c r="Z19" s="27">
        <v>1</v>
      </c>
      <c r="AA19" s="46">
        <v>1</v>
      </c>
      <c r="AB19" s="52">
        <v>0.5</v>
      </c>
      <c r="AC19" s="27">
        <v>1</v>
      </c>
      <c r="AD19" s="27">
        <v>0.75</v>
      </c>
      <c r="AE19" s="27">
        <v>0.25</v>
      </c>
      <c r="AF19" s="27">
        <v>1</v>
      </c>
      <c r="AG19" s="46">
        <v>0.25</v>
      </c>
      <c r="AH19" s="45">
        <v>0</v>
      </c>
      <c r="AI19" s="27">
        <v>0</v>
      </c>
      <c r="AJ19" s="27">
        <v>0</v>
      </c>
      <c r="AK19" s="27">
        <v>0</v>
      </c>
      <c r="AL19" s="27">
        <v>1</v>
      </c>
      <c r="AM19" s="46">
        <v>1.0000000000000002</v>
      </c>
      <c r="AN19" s="45">
        <v>1</v>
      </c>
      <c r="AO19" s="27">
        <v>1</v>
      </c>
      <c r="AP19" s="46">
        <v>0</v>
      </c>
      <c r="AQ19" s="52">
        <v>1</v>
      </c>
      <c r="AR19" s="27">
        <v>0.5</v>
      </c>
      <c r="AS19" s="46">
        <v>0</v>
      </c>
      <c r="AT19" s="52">
        <v>1</v>
      </c>
      <c r="AU19" s="27">
        <v>1</v>
      </c>
      <c r="AV19" s="27">
        <v>1.0000000000000002</v>
      </c>
      <c r="AW19" s="110">
        <v>0</v>
      </c>
      <c r="AX19" s="45">
        <v>0.33333333333333343</v>
      </c>
      <c r="AY19" s="27">
        <v>0.25</v>
      </c>
      <c r="AZ19" s="27">
        <v>0</v>
      </c>
      <c r="BA19" s="46">
        <v>0</v>
      </c>
    </row>
    <row r="20" spans="1:53" s="13" customFormat="1" x14ac:dyDescent="0.2">
      <c r="A20" s="12">
        <v>2025</v>
      </c>
      <c r="B20" s="11" t="s">
        <v>86</v>
      </c>
      <c r="C20" s="12" t="s">
        <v>55</v>
      </c>
      <c r="D20" s="108">
        <f t="shared" si="0"/>
        <v>0.5530229166666667</v>
      </c>
      <c r="E20" s="112">
        <v>0.65333333333333332</v>
      </c>
      <c r="F20" s="112">
        <v>0.64208333333333334</v>
      </c>
      <c r="G20" s="113">
        <v>0.5</v>
      </c>
      <c r="H20" s="111">
        <v>0.41667500000000002</v>
      </c>
      <c r="I20" s="112">
        <v>0.75</v>
      </c>
      <c r="J20" s="114">
        <v>0.55666666666666664</v>
      </c>
      <c r="K20" s="112">
        <v>0.66666666666666674</v>
      </c>
      <c r="L20" s="111">
        <v>0.61749999999999994</v>
      </c>
      <c r="M20" s="112">
        <v>0.33333333333333331</v>
      </c>
      <c r="N20" s="113">
        <v>1</v>
      </c>
      <c r="O20" s="111">
        <v>0.16666666666666666</v>
      </c>
      <c r="P20" s="112">
        <v>0.60417500000000002</v>
      </c>
      <c r="Q20" s="111">
        <v>0.22917499999999999</v>
      </c>
      <c r="R20" s="45">
        <v>1</v>
      </c>
      <c r="S20" s="27">
        <v>1</v>
      </c>
      <c r="T20" s="27">
        <v>0.5</v>
      </c>
      <c r="U20" s="110">
        <v>0.5</v>
      </c>
      <c r="V20" s="45">
        <v>0.67</v>
      </c>
      <c r="W20" s="27">
        <v>0.5</v>
      </c>
      <c r="X20" s="46">
        <v>0.5</v>
      </c>
      <c r="Y20" s="45">
        <v>1.0000000000000002</v>
      </c>
      <c r="Z20" s="27">
        <v>0</v>
      </c>
      <c r="AA20" s="46">
        <v>1</v>
      </c>
      <c r="AB20" s="52">
        <v>0.5</v>
      </c>
      <c r="AC20" s="27">
        <v>1</v>
      </c>
      <c r="AD20" s="27">
        <v>0.625</v>
      </c>
      <c r="AE20" s="27">
        <v>0.5</v>
      </c>
      <c r="AF20" s="27">
        <v>0.33</v>
      </c>
      <c r="AG20" s="46">
        <v>0.75</v>
      </c>
      <c r="AH20" s="45">
        <v>0</v>
      </c>
      <c r="AI20" s="27">
        <v>0</v>
      </c>
      <c r="AJ20" s="27">
        <v>0</v>
      </c>
      <c r="AK20" s="27">
        <v>0</v>
      </c>
      <c r="AL20" s="27">
        <v>1</v>
      </c>
      <c r="AM20" s="46">
        <v>1</v>
      </c>
      <c r="AN20" s="45">
        <v>1</v>
      </c>
      <c r="AO20" s="27">
        <v>1</v>
      </c>
      <c r="AP20" s="46">
        <v>1</v>
      </c>
      <c r="AQ20" s="52">
        <v>0</v>
      </c>
      <c r="AR20" s="27">
        <v>0.5</v>
      </c>
      <c r="AS20" s="46">
        <v>0</v>
      </c>
      <c r="AT20" s="52">
        <v>0.75</v>
      </c>
      <c r="AU20" s="27">
        <v>1</v>
      </c>
      <c r="AV20" s="27">
        <v>0.66669999999999996</v>
      </c>
      <c r="AW20" s="110">
        <v>0</v>
      </c>
      <c r="AX20" s="45">
        <v>0.66669999999999996</v>
      </c>
      <c r="AY20" s="27">
        <v>0.25</v>
      </c>
      <c r="AZ20" s="27">
        <v>0</v>
      </c>
      <c r="BA20" s="46">
        <v>0</v>
      </c>
    </row>
    <row r="21" spans="1:53" s="13" customFormat="1" x14ac:dyDescent="0.2">
      <c r="A21" s="12">
        <v>2025</v>
      </c>
      <c r="B21" s="11" t="s">
        <v>127</v>
      </c>
      <c r="C21" s="12" t="s">
        <v>53</v>
      </c>
      <c r="D21" s="108">
        <f t="shared" si="0"/>
        <v>0.51041770833333333</v>
      </c>
      <c r="E21" s="112">
        <v>0.46875</v>
      </c>
      <c r="F21" s="112">
        <v>0.67708333333333326</v>
      </c>
      <c r="G21" s="113">
        <v>0.58333333333333326</v>
      </c>
      <c r="H21" s="111">
        <v>0.31250416666666669</v>
      </c>
      <c r="I21" s="112">
        <v>0.6875</v>
      </c>
      <c r="J21" s="114">
        <v>0.25</v>
      </c>
      <c r="K21" s="112">
        <v>0.66666666666666663</v>
      </c>
      <c r="L21" s="111">
        <v>0.68749999999999989</v>
      </c>
      <c r="M21" s="112">
        <v>0.16666666666666666</v>
      </c>
      <c r="N21" s="113">
        <v>1</v>
      </c>
      <c r="O21" s="111">
        <v>0.58333333333333337</v>
      </c>
      <c r="P21" s="112">
        <v>0.47917500000000002</v>
      </c>
      <c r="Q21" s="111">
        <v>0.14583333333333337</v>
      </c>
      <c r="R21" s="45">
        <v>1</v>
      </c>
      <c r="S21" s="27">
        <v>1</v>
      </c>
      <c r="T21" s="27">
        <v>0.75</v>
      </c>
      <c r="U21" s="110">
        <v>0</v>
      </c>
      <c r="V21" s="45">
        <v>0</v>
      </c>
      <c r="W21" s="27">
        <v>0.25</v>
      </c>
      <c r="X21" s="46">
        <v>0.5</v>
      </c>
      <c r="Y21" s="45">
        <v>1</v>
      </c>
      <c r="Z21" s="27">
        <v>0</v>
      </c>
      <c r="AA21" s="46">
        <v>1</v>
      </c>
      <c r="AB21" s="52">
        <v>0.5</v>
      </c>
      <c r="AC21" s="27">
        <v>1</v>
      </c>
      <c r="AD21" s="27">
        <v>0.875</v>
      </c>
      <c r="AE21" s="27">
        <v>0.5</v>
      </c>
      <c r="AF21" s="27">
        <v>1</v>
      </c>
      <c r="AG21" s="46">
        <v>0.25</v>
      </c>
      <c r="AH21" s="45">
        <v>0</v>
      </c>
      <c r="AI21" s="27">
        <v>0</v>
      </c>
      <c r="AJ21" s="27">
        <v>0</v>
      </c>
      <c r="AK21" s="27">
        <v>0</v>
      </c>
      <c r="AL21" s="27">
        <v>0</v>
      </c>
      <c r="AM21" s="46">
        <v>1</v>
      </c>
      <c r="AN21" s="45">
        <v>1</v>
      </c>
      <c r="AO21" s="27">
        <v>1</v>
      </c>
      <c r="AP21" s="46">
        <v>1</v>
      </c>
      <c r="AQ21" s="52">
        <v>1</v>
      </c>
      <c r="AR21" s="27">
        <v>0.5</v>
      </c>
      <c r="AS21" s="46">
        <v>0.25</v>
      </c>
      <c r="AT21" s="52">
        <v>0.25</v>
      </c>
      <c r="AU21" s="27">
        <v>1</v>
      </c>
      <c r="AV21" s="27">
        <v>0.66669999999999996</v>
      </c>
      <c r="AW21" s="110">
        <v>0</v>
      </c>
      <c r="AX21" s="45">
        <v>0.33333333333333343</v>
      </c>
      <c r="AY21" s="27">
        <v>0.25</v>
      </c>
      <c r="AZ21" s="27">
        <v>0</v>
      </c>
      <c r="BA21" s="46">
        <v>0</v>
      </c>
    </row>
    <row r="22" spans="1:53" s="13" customFormat="1" x14ac:dyDescent="0.2">
      <c r="A22" s="12">
        <v>2025</v>
      </c>
      <c r="B22" s="11" t="s">
        <v>111</v>
      </c>
      <c r="C22" s="12" t="s">
        <v>55</v>
      </c>
      <c r="D22" s="108">
        <f t="shared" si="0"/>
        <v>0.50909305555555551</v>
      </c>
      <c r="E22" s="112">
        <v>0.53125</v>
      </c>
      <c r="F22" s="112">
        <v>0.7879166666666666</v>
      </c>
      <c r="G22" s="113">
        <v>0.4567888888888888</v>
      </c>
      <c r="H22" s="111">
        <v>0.26041666666666669</v>
      </c>
      <c r="I22" s="112">
        <v>0.5625</v>
      </c>
      <c r="J22" s="114">
        <v>0.5</v>
      </c>
      <c r="K22" s="112">
        <v>1</v>
      </c>
      <c r="L22" s="111">
        <v>0.57583333333333331</v>
      </c>
      <c r="M22" s="112">
        <v>0.53703333333333325</v>
      </c>
      <c r="N22" s="113">
        <v>0.33333333333333331</v>
      </c>
      <c r="O22" s="111">
        <v>0.5</v>
      </c>
      <c r="P22" s="112">
        <v>0.45833333333333337</v>
      </c>
      <c r="Q22" s="111">
        <v>6.25E-2</v>
      </c>
      <c r="R22" s="45">
        <v>1</v>
      </c>
      <c r="S22" s="27">
        <v>1</v>
      </c>
      <c r="T22" s="27">
        <v>0.25</v>
      </c>
      <c r="U22" s="110">
        <v>0</v>
      </c>
      <c r="V22" s="45">
        <v>0</v>
      </c>
      <c r="W22" s="27">
        <v>0.5</v>
      </c>
      <c r="X22" s="46">
        <v>1</v>
      </c>
      <c r="Y22" s="45">
        <v>1</v>
      </c>
      <c r="Z22" s="27">
        <v>1</v>
      </c>
      <c r="AA22" s="46">
        <v>1</v>
      </c>
      <c r="AB22" s="52">
        <v>0.75</v>
      </c>
      <c r="AC22" s="27">
        <v>1</v>
      </c>
      <c r="AD22" s="27">
        <v>0.375</v>
      </c>
      <c r="AE22" s="27">
        <v>0.5</v>
      </c>
      <c r="AF22" s="27">
        <v>0.33</v>
      </c>
      <c r="AG22" s="46">
        <v>0.5</v>
      </c>
      <c r="AH22" s="45">
        <v>1</v>
      </c>
      <c r="AI22" s="27">
        <v>0</v>
      </c>
      <c r="AJ22" s="27">
        <v>0.22220000000000001</v>
      </c>
      <c r="AK22" s="27">
        <v>0</v>
      </c>
      <c r="AL22" s="27">
        <v>1</v>
      </c>
      <c r="AM22" s="46">
        <v>1.0000000000000002</v>
      </c>
      <c r="AN22" s="45">
        <v>1</v>
      </c>
      <c r="AO22" s="27">
        <v>0</v>
      </c>
      <c r="AP22" s="46">
        <v>0</v>
      </c>
      <c r="AQ22" s="52">
        <v>1</v>
      </c>
      <c r="AR22" s="27">
        <v>0.5</v>
      </c>
      <c r="AS22" s="46">
        <v>0</v>
      </c>
      <c r="AT22" s="52">
        <v>0.5</v>
      </c>
      <c r="AU22" s="27">
        <v>0.99999999999999989</v>
      </c>
      <c r="AV22" s="27">
        <v>0.33333333333333343</v>
      </c>
      <c r="AW22" s="110">
        <v>0</v>
      </c>
      <c r="AX22" s="45">
        <v>0</v>
      </c>
      <c r="AY22" s="27">
        <v>0.25</v>
      </c>
      <c r="AZ22" s="27">
        <v>0</v>
      </c>
      <c r="BA22" s="46">
        <v>0</v>
      </c>
    </row>
    <row r="23" spans="1:53" s="13" customFormat="1" x14ac:dyDescent="0.2">
      <c r="A23" s="12">
        <v>2025</v>
      </c>
      <c r="B23" s="11" t="s">
        <v>107</v>
      </c>
      <c r="C23" s="12" t="s">
        <v>53</v>
      </c>
      <c r="D23" s="108">
        <f t="shared" si="0"/>
        <v>0.46000208333333326</v>
      </c>
      <c r="E23" s="112">
        <v>0.5</v>
      </c>
      <c r="F23" s="112">
        <v>0.62124999999999997</v>
      </c>
      <c r="G23" s="113">
        <v>0.33333333333333331</v>
      </c>
      <c r="H23" s="111">
        <v>0.38542500000000002</v>
      </c>
      <c r="I23" s="112">
        <v>0.75</v>
      </c>
      <c r="J23" s="114">
        <v>0.25</v>
      </c>
      <c r="K23" s="112">
        <v>0.66666666666666663</v>
      </c>
      <c r="L23" s="111">
        <v>0.57583333333333331</v>
      </c>
      <c r="M23" s="112">
        <v>0.16666666666666669</v>
      </c>
      <c r="N23" s="113">
        <v>0.33333333333333331</v>
      </c>
      <c r="O23" s="111">
        <v>0.5</v>
      </c>
      <c r="P23" s="112">
        <v>0.54167500000000002</v>
      </c>
      <c r="Q23" s="111">
        <v>0.22917499999999999</v>
      </c>
      <c r="R23" s="45">
        <v>1</v>
      </c>
      <c r="S23" s="27">
        <v>1</v>
      </c>
      <c r="T23" s="27">
        <v>1</v>
      </c>
      <c r="U23" s="110">
        <v>0</v>
      </c>
      <c r="V23" s="45">
        <v>0</v>
      </c>
      <c r="W23" s="27">
        <v>0.25</v>
      </c>
      <c r="X23" s="46">
        <v>0.5</v>
      </c>
      <c r="Y23" s="45">
        <v>1</v>
      </c>
      <c r="Z23" s="27">
        <v>0</v>
      </c>
      <c r="AA23" s="46">
        <v>1</v>
      </c>
      <c r="AB23" s="52">
        <v>0.75</v>
      </c>
      <c r="AC23" s="27">
        <v>1</v>
      </c>
      <c r="AD23" s="27">
        <v>0.875</v>
      </c>
      <c r="AE23" s="27">
        <v>0.25</v>
      </c>
      <c r="AF23" s="27">
        <v>0.33</v>
      </c>
      <c r="AG23" s="46">
        <v>0.25</v>
      </c>
      <c r="AH23" s="45">
        <v>0</v>
      </c>
      <c r="AI23" s="27">
        <v>0</v>
      </c>
      <c r="AJ23" s="27">
        <v>0</v>
      </c>
      <c r="AK23" s="27">
        <v>0</v>
      </c>
      <c r="AL23" s="27">
        <v>0</v>
      </c>
      <c r="AM23" s="46">
        <v>1.0000000000000002</v>
      </c>
      <c r="AN23" s="45">
        <v>1</v>
      </c>
      <c r="AO23" s="27">
        <v>0</v>
      </c>
      <c r="AP23" s="46">
        <v>0</v>
      </c>
      <c r="AQ23" s="52">
        <v>1</v>
      </c>
      <c r="AR23" s="27">
        <v>0.5</v>
      </c>
      <c r="AS23" s="46">
        <v>0</v>
      </c>
      <c r="AT23" s="52">
        <v>0.5</v>
      </c>
      <c r="AU23" s="27">
        <v>1</v>
      </c>
      <c r="AV23" s="27">
        <v>0.66669999999999996</v>
      </c>
      <c r="AW23" s="110">
        <v>0</v>
      </c>
      <c r="AX23" s="45">
        <v>0.66669999999999996</v>
      </c>
      <c r="AY23" s="27">
        <v>0.25</v>
      </c>
      <c r="AZ23" s="27">
        <v>0</v>
      </c>
      <c r="BA23" s="46">
        <v>0</v>
      </c>
    </row>
    <row r="24" spans="1:53" s="13" customFormat="1" x14ac:dyDescent="0.2">
      <c r="A24" s="12">
        <v>2025</v>
      </c>
      <c r="B24" s="11" t="s">
        <v>123</v>
      </c>
      <c r="C24" s="12" t="s">
        <v>75</v>
      </c>
      <c r="D24" s="108">
        <f t="shared" si="0"/>
        <v>0.43836909722222217</v>
      </c>
      <c r="E24" s="112">
        <v>0.58333333333333326</v>
      </c>
      <c r="F24" s="112">
        <v>0.4375</v>
      </c>
      <c r="G24" s="113">
        <v>0.38888888888888884</v>
      </c>
      <c r="H24" s="111">
        <v>0.34375416666666669</v>
      </c>
      <c r="I24" s="112">
        <v>0.75</v>
      </c>
      <c r="J24" s="114">
        <v>0.41666666666666663</v>
      </c>
      <c r="K24" s="112">
        <v>0.33333333333333337</v>
      </c>
      <c r="L24" s="111">
        <v>0.54166666666666663</v>
      </c>
      <c r="M24" s="112">
        <v>0.33333333333333337</v>
      </c>
      <c r="N24" s="113">
        <v>0.33333333333333331</v>
      </c>
      <c r="O24" s="111">
        <v>0.5</v>
      </c>
      <c r="P24" s="112">
        <v>0.54167500000000002</v>
      </c>
      <c r="Q24" s="111">
        <v>0.14583333333333337</v>
      </c>
      <c r="R24" s="45">
        <v>1</v>
      </c>
      <c r="S24" s="27">
        <v>1</v>
      </c>
      <c r="T24" s="27">
        <v>0.75</v>
      </c>
      <c r="U24" s="110">
        <v>0.25</v>
      </c>
      <c r="V24" s="45">
        <v>0</v>
      </c>
      <c r="W24" s="27">
        <v>0.25</v>
      </c>
      <c r="X24" s="46">
        <v>1</v>
      </c>
      <c r="Y24" s="45">
        <v>1.0000000000000002</v>
      </c>
      <c r="Z24" s="27">
        <v>0</v>
      </c>
      <c r="AA24" s="46">
        <v>0</v>
      </c>
      <c r="AB24" s="52">
        <v>0.5</v>
      </c>
      <c r="AC24" s="27">
        <v>1</v>
      </c>
      <c r="AD24" s="27">
        <v>0.75</v>
      </c>
      <c r="AE24" s="27">
        <v>0.75</v>
      </c>
      <c r="AF24" s="27">
        <v>0</v>
      </c>
      <c r="AG24" s="46">
        <v>0.25</v>
      </c>
      <c r="AH24" s="45">
        <v>0</v>
      </c>
      <c r="AI24" s="27">
        <v>0</v>
      </c>
      <c r="AJ24" s="27">
        <v>0</v>
      </c>
      <c r="AK24" s="27">
        <v>0</v>
      </c>
      <c r="AL24" s="27">
        <v>1</v>
      </c>
      <c r="AM24" s="46">
        <v>1.0000000000000002</v>
      </c>
      <c r="AN24" s="45">
        <v>1</v>
      </c>
      <c r="AO24" s="27">
        <v>0</v>
      </c>
      <c r="AP24" s="46">
        <v>0</v>
      </c>
      <c r="AQ24" s="52">
        <v>1</v>
      </c>
      <c r="AR24" s="27">
        <v>0.5</v>
      </c>
      <c r="AS24" s="46">
        <v>0</v>
      </c>
      <c r="AT24" s="52">
        <v>0.5</v>
      </c>
      <c r="AU24" s="27">
        <v>1</v>
      </c>
      <c r="AV24" s="27">
        <v>0.66669999999999996</v>
      </c>
      <c r="AW24" s="110">
        <v>0</v>
      </c>
      <c r="AX24" s="45">
        <v>0.33333333333333343</v>
      </c>
      <c r="AY24" s="27">
        <v>0.25</v>
      </c>
      <c r="AZ24" s="27">
        <v>0</v>
      </c>
      <c r="BA24" s="46">
        <v>0</v>
      </c>
    </row>
    <row r="25" spans="1:53" s="13" customFormat="1" x14ac:dyDescent="0.2">
      <c r="A25" s="12">
        <v>2025</v>
      </c>
      <c r="B25" s="11" t="s">
        <v>122</v>
      </c>
      <c r="C25" s="12" t="s">
        <v>75</v>
      </c>
      <c r="D25" s="108">
        <f t="shared" si="0"/>
        <v>0.43496631944444442</v>
      </c>
      <c r="E25" s="112">
        <v>0.40333333333333332</v>
      </c>
      <c r="F25" s="112">
        <v>0.57958333333333334</v>
      </c>
      <c r="G25" s="113">
        <v>0.44444444444444442</v>
      </c>
      <c r="H25" s="111">
        <v>0.31250416666666669</v>
      </c>
      <c r="I25" s="112">
        <v>0.5</v>
      </c>
      <c r="J25" s="114">
        <v>0.30666666666666664</v>
      </c>
      <c r="K25" s="112">
        <v>0.66666666666666663</v>
      </c>
      <c r="L25" s="111">
        <v>0.49249999999999999</v>
      </c>
      <c r="M25" s="112">
        <v>0.16666666666666669</v>
      </c>
      <c r="N25" s="113">
        <v>0.66666666666666663</v>
      </c>
      <c r="O25" s="111">
        <v>0.5</v>
      </c>
      <c r="P25" s="112">
        <v>0.39583333333333337</v>
      </c>
      <c r="Q25" s="111">
        <v>0.22917499999999999</v>
      </c>
      <c r="R25" s="45">
        <v>1</v>
      </c>
      <c r="S25" s="27">
        <v>1</v>
      </c>
      <c r="T25" s="27">
        <v>0</v>
      </c>
      <c r="U25" s="110">
        <v>0</v>
      </c>
      <c r="V25" s="45">
        <v>0.67</v>
      </c>
      <c r="W25" s="27">
        <v>0.25</v>
      </c>
      <c r="X25" s="46">
        <v>0</v>
      </c>
      <c r="Y25" s="45">
        <v>1</v>
      </c>
      <c r="Z25" s="27">
        <v>0</v>
      </c>
      <c r="AA25" s="46">
        <v>1</v>
      </c>
      <c r="AB25" s="52">
        <v>0.25</v>
      </c>
      <c r="AC25" s="27">
        <v>1</v>
      </c>
      <c r="AD25" s="27">
        <v>0.875</v>
      </c>
      <c r="AE25" s="27">
        <v>0.25</v>
      </c>
      <c r="AF25" s="27">
        <v>0.33</v>
      </c>
      <c r="AG25" s="46">
        <v>0.25</v>
      </c>
      <c r="AH25" s="45">
        <v>0</v>
      </c>
      <c r="AI25" s="27">
        <v>0</v>
      </c>
      <c r="AJ25" s="27">
        <v>0</v>
      </c>
      <c r="AK25" s="27">
        <v>0</v>
      </c>
      <c r="AL25" s="27">
        <v>0</v>
      </c>
      <c r="AM25" s="46">
        <v>1.0000000000000002</v>
      </c>
      <c r="AN25" s="45">
        <v>1</v>
      </c>
      <c r="AO25" s="27">
        <v>1</v>
      </c>
      <c r="AP25" s="46">
        <v>0</v>
      </c>
      <c r="AQ25" s="52">
        <v>1</v>
      </c>
      <c r="AR25" s="27">
        <v>0.5</v>
      </c>
      <c r="AS25" s="46">
        <v>0</v>
      </c>
      <c r="AT25" s="52">
        <v>0.25</v>
      </c>
      <c r="AU25" s="27">
        <v>1</v>
      </c>
      <c r="AV25" s="27">
        <v>0.33333333333333343</v>
      </c>
      <c r="AW25" s="110">
        <v>0</v>
      </c>
      <c r="AX25" s="45">
        <v>0.66669999999999996</v>
      </c>
      <c r="AY25" s="27">
        <v>0.25</v>
      </c>
      <c r="AZ25" s="27">
        <v>0</v>
      </c>
      <c r="BA25" s="46">
        <v>0</v>
      </c>
    </row>
    <row r="26" spans="1:53" s="13" customFormat="1" x14ac:dyDescent="0.2">
      <c r="A26" s="12">
        <v>2025</v>
      </c>
      <c r="B26" s="11" t="s">
        <v>121</v>
      </c>
      <c r="C26" s="12" t="s">
        <v>75</v>
      </c>
      <c r="D26" s="108">
        <f t="shared" si="0"/>
        <v>0.393959375</v>
      </c>
      <c r="E26" s="112">
        <v>0.38541666666666669</v>
      </c>
      <c r="F26" s="112">
        <v>0.57583333333333342</v>
      </c>
      <c r="G26" s="113">
        <v>0.33333333333333331</v>
      </c>
      <c r="H26" s="111">
        <v>0.28125416666666669</v>
      </c>
      <c r="I26" s="112">
        <v>0.6875</v>
      </c>
      <c r="J26" s="114">
        <v>8.3333333333333329E-2</v>
      </c>
      <c r="K26" s="112">
        <v>0.66666666666666674</v>
      </c>
      <c r="L26" s="111">
        <v>0.48499999999999999</v>
      </c>
      <c r="M26" s="112">
        <v>0.16666666666666666</v>
      </c>
      <c r="N26" s="113">
        <v>0.33333333333333331</v>
      </c>
      <c r="O26" s="111">
        <v>0.5</v>
      </c>
      <c r="P26" s="112">
        <v>0.33333333333333337</v>
      </c>
      <c r="Q26" s="111">
        <v>0.22917499999999999</v>
      </c>
      <c r="R26" s="45">
        <v>1</v>
      </c>
      <c r="S26" s="27">
        <v>1</v>
      </c>
      <c r="T26" s="27">
        <v>0.5</v>
      </c>
      <c r="U26" s="110">
        <v>0.25</v>
      </c>
      <c r="V26" s="45">
        <v>0</v>
      </c>
      <c r="W26" s="27">
        <v>0.25</v>
      </c>
      <c r="X26" s="46">
        <v>0</v>
      </c>
      <c r="Y26" s="45">
        <v>1.0000000000000002</v>
      </c>
      <c r="Z26" s="27">
        <v>1</v>
      </c>
      <c r="AA26" s="46">
        <v>0</v>
      </c>
      <c r="AB26" s="52">
        <v>0.75</v>
      </c>
      <c r="AC26" s="27">
        <v>0</v>
      </c>
      <c r="AD26" s="27">
        <v>0</v>
      </c>
      <c r="AE26" s="27">
        <v>0.75</v>
      </c>
      <c r="AF26" s="27">
        <v>0.66</v>
      </c>
      <c r="AG26" s="46">
        <v>0.75</v>
      </c>
      <c r="AH26" s="45">
        <v>0</v>
      </c>
      <c r="AI26" s="27">
        <v>0</v>
      </c>
      <c r="AJ26" s="27">
        <v>0</v>
      </c>
      <c r="AK26" s="27">
        <v>0</v>
      </c>
      <c r="AL26" s="27">
        <v>0</v>
      </c>
      <c r="AM26" s="46">
        <v>1</v>
      </c>
      <c r="AN26" s="45">
        <v>1</v>
      </c>
      <c r="AO26" s="27">
        <v>0</v>
      </c>
      <c r="AP26" s="46">
        <v>0</v>
      </c>
      <c r="AQ26" s="52">
        <v>1</v>
      </c>
      <c r="AR26" s="27">
        <v>0.5</v>
      </c>
      <c r="AS26" s="46">
        <v>0</v>
      </c>
      <c r="AT26" s="52">
        <v>0.5</v>
      </c>
      <c r="AU26" s="27">
        <v>0.5</v>
      </c>
      <c r="AV26" s="27">
        <v>0.33333333333333343</v>
      </c>
      <c r="AW26" s="110">
        <v>0</v>
      </c>
      <c r="AX26" s="45">
        <v>0.66669999999999996</v>
      </c>
      <c r="AY26" s="27">
        <v>0.25</v>
      </c>
      <c r="AZ26" s="27">
        <v>0</v>
      </c>
      <c r="BA26" s="46">
        <v>0</v>
      </c>
    </row>
    <row r="27" spans="1:53" s="13" customFormat="1" x14ac:dyDescent="0.2">
      <c r="A27" s="12">
        <v>2025</v>
      </c>
      <c r="B27" s="11" t="s">
        <v>113</v>
      </c>
      <c r="C27" s="12" t="s">
        <v>55</v>
      </c>
      <c r="D27" s="108">
        <f t="shared" si="0"/>
        <v>0.37326388888888884</v>
      </c>
      <c r="E27" s="112">
        <v>0.67708333333333326</v>
      </c>
      <c r="F27" s="112">
        <v>0.36458333333333331</v>
      </c>
      <c r="G27" s="113">
        <v>0.38888888888888884</v>
      </c>
      <c r="H27" s="111">
        <v>6.25E-2</v>
      </c>
      <c r="I27" s="112">
        <v>0.9375</v>
      </c>
      <c r="J27" s="114">
        <v>0.41666666666666663</v>
      </c>
      <c r="K27" s="112">
        <v>0.33333333333333331</v>
      </c>
      <c r="L27" s="111">
        <v>0.39583333333333331</v>
      </c>
      <c r="M27" s="112">
        <v>0.33333333333333331</v>
      </c>
      <c r="N27" s="113">
        <v>0.33333333333333331</v>
      </c>
      <c r="O27" s="111">
        <v>0.5</v>
      </c>
      <c r="P27" s="112">
        <v>0.125</v>
      </c>
      <c r="Q27" s="111">
        <v>0</v>
      </c>
      <c r="R27" s="45">
        <v>1</v>
      </c>
      <c r="S27" s="27">
        <v>1</v>
      </c>
      <c r="T27" s="27">
        <v>1</v>
      </c>
      <c r="U27" s="110">
        <v>0.75</v>
      </c>
      <c r="V27" s="45">
        <v>0</v>
      </c>
      <c r="W27" s="27">
        <v>0.25</v>
      </c>
      <c r="X27" s="46">
        <v>1</v>
      </c>
      <c r="Y27" s="45">
        <v>1</v>
      </c>
      <c r="Z27" s="27">
        <v>0</v>
      </c>
      <c r="AA27" s="46">
        <v>0</v>
      </c>
      <c r="AB27" s="52">
        <v>0.25</v>
      </c>
      <c r="AC27" s="27">
        <v>1</v>
      </c>
      <c r="AD27" s="27">
        <v>0.375</v>
      </c>
      <c r="AE27" s="27">
        <v>0.5</v>
      </c>
      <c r="AF27" s="27">
        <v>0</v>
      </c>
      <c r="AG27" s="46">
        <v>0.25</v>
      </c>
      <c r="AH27" s="45">
        <v>1</v>
      </c>
      <c r="AI27" s="27">
        <v>0</v>
      </c>
      <c r="AJ27" s="27">
        <v>0</v>
      </c>
      <c r="AK27" s="27">
        <v>0</v>
      </c>
      <c r="AL27" s="27">
        <v>0</v>
      </c>
      <c r="AM27" s="46">
        <v>1</v>
      </c>
      <c r="AN27" s="45">
        <v>1</v>
      </c>
      <c r="AO27" s="27">
        <v>0</v>
      </c>
      <c r="AP27" s="46">
        <v>0</v>
      </c>
      <c r="AQ27" s="52">
        <v>1</v>
      </c>
      <c r="AR27" s="27">
        <v>0.5</v>
      </c>
      <c r="AS27" s="46">
        <v>0</v>
      </c>
      <c r="AT27" s="52">
        <v>0.5</v>
      </c>
      <c r="AU27" s="27">
        <v>0</v>
      </c>
      <c r="AV27" s="27">
        <v>0</v>
      </c>
      <c r="AW27" s="110">
        <v>0</v>
      </c>
      <c r="AX27" s="45">
        <v>0</v>
      </c>
      <c r="AY27" s="27">
        <v>0</v>
      </c>
      <c r="AZ27" s="27">
        <v>0</v>
      </c>
      <c r="BA27" s="46">
        <v>0</v>
      </c>
    </row>
    <row r="28" spans="1:53" s="13" customFormat="1" ht="16" thickBot="1" x14ac:dyDescent="0.25">
      <c r="A28" s="12">
        <v>2025</v>
      </c>
      <c r="B28" s="78" t="s">
        <v>114</v>
      </c>
      <c r="C28" s="109" t="s">
        <v>55</v>
      </c>
      <c r="D28" s="108">
        <f t="shared" si="0"/>
        <v>0.27857638888888892</v>
      </c>
      <c r="E28" s="105">
        <v>0.29166666666666669</v>
      </c>
      <c r="F28" s="105">
        <v>0.30874999999999997</v>
      </c>
      <c r="G28" s="106">
        <v>0.30555555555555558</v>
      </c>
      <c r="H28" s="104">
        <v>0.20833333333333337</v>
      </c>
      <c r="I28" s="105">
        <v>0.5</v>
      </c>
      <c r="J28" s="107">
        <v>8.3333333333333329E-2</v>
      </c>
      <c r="K28" s="105">
        <v>0</v>
      </c>
      <c r="L28" s="104">
        <v>0.61749999999999994</v>
      </c>
      <c r="M28" s="105">
        <v>0</v>
      </c>
      <c r="N28" s="106">
        <v>0.33333333333333331</v>
      </c>
      <c r="O28" s="104">
        <v>0.58333333333333337</v>
      </c>
      <c r="P28" s="105">
        <v>0.27083333333333337</v>
      </c>
      <c r="Q28" s="104">
        <v>0.14583333333333337</v>
      </c>
      <c r="R28" s="100">
        <v>1</v>
      </c>
      <c r="S28" s="99">
        <v>1</v>
      </c>
      <c r="T28" s="99">
        <v>0</v>
      </c>
      <c r="U28" s="103">
        <v>0</v>
      </c>
      <c r="V28" s="100">
        <v>0</v>
      </c>
      <c r="W28" s="99">
        <v>0.25</v>
      </c>
      <c r="X28" s="98">
        <v>0</v>
      </c>
      <c r="Y28" s="100">
        <v>0</v>
      </c>
      <c r="Z28" s="99">
        <v>0</v>
      </c>
      <c r="AA28" s="98">
        <v>0</v>
      </c>
      <c r="AB28" s="102">
        <v>0.75</v>
      </c>
      <c r="AC28" s="99">
        <v>1</v>
      </c>
      <c r="AD28" s="99">
        <v>0.125</v>
      </c>
      <c r="AE28" s="99">
        <v>0.75</v>
      </c>
      <c r="AF28" s="99">
        <v>0.33</v>
      </c>
      <c r="AG28" s="98">
        <v>0.75</v>
      </c>
      <c r="AH28" s="100">
        <v>0</v>
      </c>
      <c r="AI28" s="99">
        <v>0</v>
      </c>
      <c r="AJ28" s="99">
        <v>0</v>
      </c>
      <c r="AK28" s="99">
        <v>0</v>
      </c>
      <c r="AL28" s="99">
        <v>0</v>
      </c>
      <c r="AM28" s="98">
        <v>0</v>
      </c>
      <c r="AN28" s="100">
        <v>1</v>
      </c>
      <c r="AO28" s="99">
        <v>0</v>
      </c>
      <c r="AP28" s="98">
        <v>0</v>
      </c>
      <c r="AQ28" s="102">
        <v>1</v>
      </c>
      <c r="AR28" s="99">
        <v>0.5</v>
      </c>
      <c r="AS28" s="98">
        <v>0.25</v>
      </c>
      <c r="AT28" s="102">
        <v>0.25</v>
      </c>
      <c r="AU28" s="99">
        <v>0.5</v>
      </c>
      <c r="AV28" s="99">
        <v>0.33333333333333343</v>
      </c>
      <c r="AW28" s="101">
        <v>0</v>
      </c>
      <c r="AX28" s="100">
        <v>0.33333333333333343</v>
      </c>
      <c r="AY28" s="99">
        <v>0.25</v>
      </c>
      <c r="AZ28" s="99">
        <v>0</v>
      </c>
      <c r="BA28" s="98">
        <v>0</v>
      </c>
    </row>
    <row r="29" spans="1:53" x14ac:dyDescent="0.2">
      <c r="A29" s="12">
        <v>2024</v>
      </c>
      <c r="B29" s="97" t="s">
        <v>105</v>
      </c>
      <c r="C29" s="96" t="s">
        <v>53</v>
      </c>
      <c r="D29" s="95">
        <v>0.84754501388888892</v>
      </c>
      <c r="E29" s="94">
        <v>0.92708333333333326</v>
      </c>
      <c r="F29" s="94">
        <v>0.9375</v>
      </c>
      <c r="G29" s="93">
        <v>0.7755967222222222</v>
      </c>
      <c r="H29" s="92">
        <v>0.75</v>
      </c>
      <c r="I29" s="94">
        <v>0.9375</v>
      </c>
      <c r="J29" s="93">
        <v>0.91666666666666652</v>
      </c>
      <c r="K29" s="93">
        <v>1</v>
      </c>
      <c r="L29" s="93">
        <v>0.87499999999999989</v>
      </c>
      <c r="M29" s="93">
        <v>0.49345683333333334</v>
      </c>
      <c r="N29" s="93">
        <v>1</v>
      </c>
      <c r="O29" s="93">
        <v>0.83333333333333326</v>
      </c>
      <c r="P29" s="93">
        <v>1</v>
      </c>
      <c r="Q29" s="92">
        <v>0.5</v>
      </c>
      <c r="R29" s="82">
        <v>1</v>
      </c>
      <c r="S29" s="80">
        <v>1</v>
      </c>
      <c r="T29" s="80">
        <v>1</v>
      </c>
      <c r="U29" s="80">
        <v>0.75</v>
      </c>
      <c r="V29" s="80">
        <v>1</v>
      </c>
      <c r="W29" s="80">
        <v>0.75</v>
      </c>
      <c r="X29" s="79">
        <v>1</v>
      </c>
      <c r="Y29" s="81">
        <v>1</v>
      </c>
      <c r="Z29" s="80">
        <v>1</v>
      </c>
      <c r="AA29" s="80">
        <v>1</v>
      </c>
      <c r="AB29" s="80">
        <v>0.75</v>
      </c>
      <c r="AC29" s="80">
        <v>1</v>
      </c>
      <c r="AD29" s="80">
        <v>1</v>
      </c>
      <c r="AE29" s="80">
        <v>0.75</v>
      </c>
      <c r="AF29" s="80">
        <v>1</v>
      </c>
      <c r="AG29" s="79">
        <v>0.75</v>
      </c>
      <c r="AH29" s="81">
        <v>0.55555600000000005</v>
      </c>
      <c r="AI29" s="86">
        <v>0.22</v>
      </c>
      <c r="AJ29" s="80">
        <v>0.18518499999999999</v>
      </c>
      <c r="AK29" s="80">
        <v>0</v>
      </c>
      <c r="AL29" s="80">
        <v>1</v>
      </c>
      <c r="AM29" s="80">
        <v>1</v>
      </c>
      <c r="AN29" s="80">
        <v>1</v>
      </c>
      <c r="AO29" s="80">
        <v>1</v>
      </c>
      <c r="AP29" s="80">
        <v>1</v>
      </c>
      <c r="AQ29" s="80">
        <v>1</v>
      </c>
      <c r="AR29" s="80">
        <v>0.5</v>
      </c>
      <c r="AS29" s="79">
        <v>1</v>
      </c>
      <c r="AT29" s="81">
        <v>1</v>
      </c>
      <c r="AU29" s="80">
        <v>1</v>
      </c>
      <c r="AV29" s="80">
        <v>1</v>
      </c>
      <c r="AW29" s="69" t="s">
        <v>131</v>
      </c>
      <c r="AX29" s="80">
        <v>1</v>
      </c>
      <c r="AY29" s="80">
        <v>1</v>
      </c>
      <c r="AZ29" s="80">
        <v>0</v>
      </c>
      <c r="BA29" s="79">
        <v>0</v>
      </c>
    </row>
    <row r="30" spans="1:53" x14ac:dyDescent="0.2">
      <c r="A30" s="12">
        <v>2024</v>
      </c>
      <c r="B30" s="11" t="s">
        <v>117</v>
      </c>
      <c r="C30" s="84" t="s">
        <v>55</v>
      </c>
      <c r="D30" s="83">
        <v>0.75545138888888885</v>
      </c>
      <c r="E30" s="70">
        <v>1</v>
      </c>
      <c r="F30" s="70">
        <v>0.89930555555555558</v>
      </c>
      <c r="G30" s="80">
        <v>0.52833333333333332</v>
      </c>
      <c r="H30" s="67">
        <v>0.59416666666666662</v>
      </c>
      <c r="I30" s="70">
        <v>1</v>
      </c>
      <c r="J30" s="68">
        <v>1</v>
      </c>
      <c r="K30" s="68">
        <v>1</v>
      </c>
      <c r="L30" s="68">
        <v>0.79861111111111116</v>
      </c>
      <c r="M30" s="68">
        <v>0.41833333333333333</v>
      </c>
      <c r="N30" s="68">
        <v>0.33333333333333331</v>
      </c>
      <c r="O30" s="68">
        <v>0.83333333333333326</v>
      </c>
      <c r="P30" s="68">
        <v>0.83333333333333326</v>
      </c>
      <c r="Q30" s="67">
        <v>0.35499999999999998</v>
      </c>
      <c r="R30" s="71">
        <v>1</v>
      </c>
      <c r="S30" s="68">
        <v>1</v>
      </c>
      <c r="T30" s="68">
        <v>1</v>
      </c>
      <c r="U30" s="68">
        <v>1</v>
      </c>
      <c r="V30" s="68">
        <v>1</v>
      </c>
      <c r="W30" s="68">
        <v>1</v>
      </c>
      <c r="X30" s="67">
        <v>1</v>
      </c>
      <c r="Y30" s="70">
        <v>1</v>
      </c>
      <c r="Z30" s="68">
        <v>1</v>
      </c>
      <c r="AA30" s="68">
        <v>1</v>
      </c>
      <c r="AB30" s="68">
        <v>0.75</v>
      </c>
      <c r="AC30" s="68">
        <v>1</v>
      </c>
      <c r="AD30" s="68">
        <v>0.875</v>
      </c>
      <c r="AE30" s="68">
        <v>0.75</v>
      </c>
      <c r="AF30" s="68">
        <v>0.66666666666666663</v>
      </c>
      <c r="AG30" s="67">
        <v>0.75</v>
      </c>
      <c r="AH30" s="70">
        <v>0.3</v>
      </c>
      <c r="AI30" s="68">
        <v>0.17</v>
      </c>
      <c r="AJ30" s="68">
        <v>0.04</v>
      </c>
      <c r="AK30" s="68">
        <v>0</v>
      </c>
      <c r="AL30" s="68">
        <v>1</v>
      </c>
      <c r="AM30" s="68">
        <v>1</v>
      </c>
      <c r="AN30" s="68">
        <v>1</v>
      </c>
      <c r="AO30" s="68">
        <v>0</v>
      </c>
      <c r="AP30" s="68">
        <v>0</v>
      </c>
      <c r="AQ30" s="68">
        <v>1</v>
      </c>
      <c r="AR30" s="68">
        <v>0.5</v>
      </c>
      <c r="AS30" s="67">
        <v>1</v>
      </c>
      <c r="AT30" s="70">
        <v>0.5</v>
      </c>
      <c r="AU30" s="68">
        <v>1</v>
      </c>
      <c r="AV30" s="68">
        <v>1</v>
      </c>
      <c r="AW30" s="69" t="s">
        <v>131</v>
      </c>
      <c r="AX30" s="68">
        <v>0.67</v>
      </c>
      <c r="AY30" s="68">
        <v>0.75</v>
      </c>
      <c r="AZ30" s="68">
        <v>0</v>
      </c>
      <c r="BA30" s="67">
        <v>0</v>
      </c>
    </row>
    <row r="31" spans="1:53" x14ac:dyDescent="0.2">
      <c r="A31" s="12">
        <v>2024</v>
      </c>
      <c r="B31" s="11" t="s">
        <v>110</v>
      </c>
      <c r="C31" s="84" t="s">
        <v>55</v>
      </c>
      <c r="D31" s="83">
        <v>0.7505787037037035</v>
      </c>
      <c r="E31" s="70">
        <v>0.90277777777777779</v>
      </c>
      <c r="F31" s="81">
        <v>0.46527777777777768</v>
      </c>
      <c r="G31" s="80">
        <v>0.92592592592592582</v>
      </c>
      <c r="H31" s="79">
        <v>0.70833333333333326</v>
      </c>
      <c r="I31" s="81">
        <v>1</v>
      </c>
      <c r="J31" s="80">
        <v>0.80555555555555558</v>
      </c>
      <c r="K31" s="80">
        <v>0.33333333333333331</v>
      </c>
      <c r="L31" s="80">
        <v>0.5972222222222221</v>
      </c>
      <c r="M31" s="80">
        <v>0.94444444444444431</v>
      </c>
      <c r="N31" s="80">
        <v>1</v>
      </c>
      <c r="O31" s="80">
        <v>0.83333333333333326</v>
      </c>
      <c r="P31" s="80">
        <v>0.91666666666666652</v>
      </c>
      <c r="Q31" s="79">
        <v>0.5</v>
      </c>
      <c r="R31" s="82">
        <v>1</v>
      </c>
      <c r="S31" s="80">
        <v>1</v>
      </c>
      <c r="T31" s="80">
        <v>1</v>
      </c>
      <c r="U31" s="80">
        <v>1</v>
      </c>
      <c r="V31" s="80">
        <v>0.66666666666666663</v>
      </c>
      <c r="W31" s="80">
        <v>0.75</v>
      </c>
      <c r="X31" s="79">
        <v>1</v>
      </c>
      <c r="Y31" s="81">
        <v>1</v>
      </c>
      <c r="Z31" s="80">
        <v>0</v>
      </c>
      <c r="AA31" s="80">
        <v>0</v>
      </c>
      <c r="AB31" s="80">
        <v>0.5</v>
      </c>
      <c r="AC31" s="80">
        <v>1</v>
      </c>
      <c r="AD31" s="80">
        <v>1</v>
      </c>
      <c r="AE31" s="80">
        <v>0.5</v>
      </c>
      <c r="AF31" s="80">
        <v>0.33333333333333331</v>
      </c>
      <c r="AG31" s="79">
        <v>0.25</v>
      </c>
      <c r="AH31" s="81">
        <v>1</v>
      </c>
      <c r="AI31" s="80">
        <v>1</v>
      </c>
      <c r="AJ31" s="80">
        <v>0.66666666666666663</v>
      </c>
      <c r="AK31" s="80">
        <v>1</v>
      </c>
      <c r="AL31" s="80">
        <v>1</v>
      </c>
      <c r="AM31" s="80">
        <v>1</v>
      </c>
      <c r="AN31" s="80">
        <v>1</v>
      </c>
      <c r="AO31" s="80">
        <v>1</v>
      </c>
      <c r="AP31" s="80">
        <v>1</v>
      </c>
      <c r="AQ31" s="80">
        <v>1</v>
      </c>
      <c r="AR31" s="80">
        <v>1</v>
      </c>
      <c r="AS31" s="79">
        <v>0.5</v>
      </c>
      <c r="AT31" s="81">
        <v>0.75</v>
      </c>
      <c r="AU31" s="80">
        <v>1</v>
      </c>
      <c r="AV31" s="80">
        <v>1</v>
      </c>
      <c r="AW31" s="69" t="s">
        <v>131</v>
      </c>
      <c r="AX31" s="80">
        <v>1</v>
      </c>
      <c r="AY31" s="80">
        <v>1</v>
      </c>
      <c r="AZ31" s="80">
        <v>0</v>
      </c>
      <c r="BA31" s="79">
        <v>0</v>
      </c>
    </row>
    <row r="32" spans="1:53" x14ac:dyDescent="0.2">
      <c r="A32" s="12">
        <v>2024</v>
      </c>
      <c r="B32" s="11" t="s">
        <v>112</v>
      </c>
      <c r="C32" s="84" t="s">
        <v>55</v>
      </c>
      <c r="D32" s="83">
        <v>0.7456597222222221</v>
      </c>
      <c r="E32" s="81">
        <v>0.86111111111111105</v>
      </c>
      <c r="F32" s="81">
        <v>0.69444444444444442</v>
      </c>
      <c r="G32" s="80">
        <v>0.75</v>
      </c>
      <c r="H32" s="79">
        <v>0.67708333333333326</v>
      </c>
      <c r="I32" s="81">
        <v>1</v>
      </c>
      <c r="J32" s="80">
        <v>0.7222222222222221</v>
      </c>
      <c r="K32" s="80">
        <v>0.66666666666666663</v>
      </c>
      <c r="L32" s="80">
        <v>0.72222222222222221</v>
      </c>
      <c r="M32" s="80">
        <v>0.5</v>
      </c>
      <c r="N32" s="80">
        <v>1</v>
      </c>
      <c r="O32" s="80">
        <v>0.75</v>
      </c>
      <c r="P32" s="80">
        <v>0.91666666666666652</v>
      </c>
      <c r="Q32" s="79">
        <v>0.4375</v>
      </c>
      <c r="R32" s="82">
        <v>1</v>
      </c>
      <c r="S32" s="80">
        <v>1</v>
      </c>
      <c r="T32" s="80">
        <v>1</v>
      </c>
      <c r="U32" s="80">
        <v>1</v>
      </c>
      <c r="V32" s="80">
        <v>0.66666666666666663</v>
      </c>
      <c r="W32" s="80">
        <v>0.5</v>
      </c>
      <c r="X32" s="80">
        <v>1</v>
      </c>
      <c r="Y32" s="80">
        <v>1</v>
      </c>
      <c r="Z32" s="80">
        <v>1</v>
      </c>
      <c r="AA32" s="80">
        <v>0</v>
      </c>
      <c r="AB32" s="80">
        <v>0.75</v>
      </c>
      <c r="AC32" s="80">
        <v>1</v>
      </c>
      <c r="AD32" s="80">
        <v>1</v>
      </c>
      <c r="AE32" s="80">
        <v>0.75</v>
      </c>
      <c r="AF32" s="80">
        <v>0.33333333333333331</v>
      </c>
      <c r="AG32" s="80">
        <v>0.5</v>
      </c>
      <c r="AH32" s="80">
        <v>0.4</v>
      </c>
      <c r="AI32" s="80">
        <v>0.2</v>
      </c>
      <c r="AJ32" s="80">
        <v>0.2</v>
      </c>
      <c r="AK32" s="80">
        <v>0.2</v>
      </c>
      <c r="AL32" s="80">
        <v>1</v>
      </c>
      <c r="AM32" s="80">
        <v>1</v>
      </c>
      <c r="AN32" s="80">
        <v>1</v>
      </c>
      <c r="AO32" s="80">
        <v>1</v>
      </c>
      <c r="AP32" s="80">
        <v>1</v>
      </c>
      <c r="AQ32" s="80">
        <v>1</v>
      </c>
      <c r="AR32" s="80">
        <v>1</v>
      </c>
      <c r="AS32" s="80">
        <v>0.25</v>
      </c>
      <c r="AT32" s="80">
        <v>0.75</v>
      </c>
      <c r="AU32" s="80">
        <v>1</v>
      </c>
      <c r="AV32" s="80">
        <v>1</v>
      </c>
      <c r="AW32" s="69" t="s">
        <v>131</v>
      </c>
      <c r="AX32" s="80">
        <v>1</v>
      </c>
      <c r="AY32" s="80">
        <v>0.75</v>
      </c>
      <c r="AZ32" s="80">
        <v>0</v>
      </c>
      <c r="BA32" s="80">
        <v>0</v>
      </c>
    </row>
    <row r="33" spans="1:53" x14ac:dyDescent="0.2">
      <c r="A33" s="12">
        <v>2024</v>
      </c>
      <c r="B33" s="11" t="s">
        <v>128</v>
      </c>
      <c r="C33" s="84" t="s">
        <v>55</v>
      </c>
      <c r="D33" s="83">
        <v>0.72371527777777778</v>
      </c>
      <c r="E33" s="70">
        <v>0.875</v>
      </c>
      <c r="F33" s="70">
        <v>0.875</v>
      </c>
      <c r="G33" s="68">
        <v>0.42611111111111111</v>
      </c>
      <c r="H33" s="67">
        <v>0.71875</v>
      </c>
      <c r="I33" s="70">
        <v>0.75</v>
      </c>
      <c r="J33" s="68">
        <v>1</v>
      </c>
      <c r="K33" s="68">
        <v>1</v>
      </c>
      <c r="L33" s="68">
        <v>0.74999999999999989</v>
      </c>
      <c r="M33" s="68">
        <v>0.69499999999999995</v>
      </c>
      <c r="N33" s="68">
        <v>0</v>
      </c>
      <c r="O33" s="68">
        <v>0.58333333333333337</v>
      </c>
      <c r="P33" s="68">
        <v>1</v>
      </c>
      <c r="Q33" s="67">
        <v>0.4375</v>
      </c>
      <c r="R33" s="82">
        <v>1</v>
      </c>
      <c r="S33" s="80">
        <v>1</v>
      </c>
      <c r="T33" s="80">
        <v>1</v>
      </c>
      <c r="U33" s="80">
        <v>0</v>
      </c>
      <c r="V33" s="80">
        <v>1</v>
      </c>
      <c r="W33" s="80">
        <v>1</v>
      </c>
      <c r="X33" s="80">
        <v>1</v>
      </c>
      <c r="Y33" s="80">
        <v>1</v>
      </c>
      <c r="Z33" s="80">
        <v>1</v>
      </c>
      <c r="AA33" s="80">
        <v>1</v>
      </c>
      <c r="AB33" s="80">
        <v>0.5</v>
      </c>
      <c r="AC33" s="80">
        <v>1</v>
      </c>
      <c r="AD33" s="80">
        <v>1</v>
      </c>
      <c r="AE33" s="80">
        <v>0.75</v>
      </c>
      <c r="AF33" s="80">
        <v>1</v>
      </c>
      <c r="AG33" s="80">
        <v>0.25</v>
      </c>
      <c r="AH33" s="80">
        <v>1</v>
      </c>
      <c r="AI33" s="80">
        <v>0</v>
      </c>
      <c r="AJ33" s="80">
        <v>0.17</v>
      </c>
      <c r="AK33" s="80">
        <v>1</v>
      </c>
      <c r="AL33" s="80">
        <v>1</v>
      </c>
      <c r="AM33" s="80">
        <v>1</v>
      </c>
      <c r="AN33" s="80">
        <v>0</v>
      </c>
      <c r="AO33" s="80">
        <v>0</v>
      </c>
      <c r="AP33" s="80">
        <v>0</v>
      </c>
      <c r="AQ33" s="80">
        <v>1</v>
      </c>
      <c r="AR33" s="80">
        <v>0.5</v>
      </c>
      <c r="AS33" s="80">
        <v>0.25</v>
      </c>
      <c r="AT33" s="80">
        <v>1</v>
      </c>
      <c r="AU33" s="80">
        <v>1</v>
      </c>
      <c r="AV33" s="80">
        <v>1</v>
      </c>
      <c r="AW33" s="69" t="s">
        <v>131</v>
      </c>
      <c r="AX33" s="80">
        <v>1</v>
      </c>
      <c r="AY33" s="80">
        <v>0.75</v>
      </c>
      <c r="AZ33" s="80">
        <v>0</v>
      </c>
      <c r="BA33" s="80">
        <v>0</v>
      </c>
    </row>
    <row r="34" spans="1:53" x14ac:dyDescent="0.2">
      <c r="A34" s="12">
        <v>2024</v>
      </c>
      <c r="B34" s="11" t="s">
        <v>103</v>
      </c>
      <c r="C34" s="84" t="s">
        <v>53</v>
      </c>
      <c r="D34" s="83">
        <v>0.70052083333333326</v>
      </c>
      <c r="E34" s="70">
        <v>0.75694444444444442</v>
      </c>
      <c r="F34" s="70">
        <v>0.90277777777777779</v>
      </c>
      <c r="G34" s="68">
        <v>0.66666666666666663</v>
      </c>
      <c r="H34" s="67">
        <v>0.47569444444444442</v>
      </c>
      <c r="I34" s="70">
        <v>0.875</v>
      </c>
      <c r="J34" s="68">
        <v>0.63888888888888895</v>
      </c>
      <c r="K34" s="68">
        <v>1</v>
      </c>
      <c r="L34" s="68">
        <v>0.80555555555555558</v>
      </c>
      <c r="M34" s="68">
        <v>0.5</v>
      </c>
      <c r="N34" s="68">
        <v>1</v>
      </c>
      <c r="O34" s="68">
        <v>0.5</v>
      </c>
      <c r="P34" s="68">
        <v>0.63888888888888884</v>
      </c>
      <c r="Q34" s="67">
        <v>0.3125</v>
      </c>
      <c r="R34" s="82">
        <v>1</v>
      </c>
      <c r="S34" s="80">
        <v>1</v>
      </c>
      <c r="T34" s="80">
        <v>0.75</v>
      </c>
      <c r="U34" s="80">
        <v>0.75</v>
      </c>
      <c r="V34" s="80">
        <v>0.66666666666666696</v>
      </c>
      <c r="W34" s="80">
        <v>0.25</v>
      </c>
      <c r="X34" s="80">
        <v>1</v>
      </c>
      <c r="Y34" s="80">
        <v>1</v>
      </c>
      <c r="Z34" s="80">
        <v>1</v>
      </c>
      <c r="AA34" s="80">
        <v>1</v>
      </c>
      <c r="AB34" s="80">
        <v>1</v>
      </c>
      <c r="AC34" s="80">
        <v>1</v>
      </c>
      <c r="AD34" s="80">
        <v>1</v>
      </c>
      <c r="AE34" s="80">
        <v>0.75</v>
      </c>
      <c r="AF34" s="68">
        <v>0.33333333333333331</v>
      </c>
      <c r="AG34" s="80">
        <v>0.75</v>
      </c>
      <c r="AH34" s="80">
        <v>0</v>
      </c>
      <c r="AI34" s="80">
        <v>0</v>
      </c>
      <c r="AJ34" s="68">
        <v>0</v>
      </c>
      <c r="AK34" s="80">
        <v>1</v>
      </c>
      <c r="AL34" s="80">
        <v>1</v>
      </c>
      <c r="AM34" s="80">
        <v>1</v>
      </c>
      <c r="AN34" s="80">
        <v>1</v>
      </c>
      <c r="AO34" s="80">
        <v>1</v>
      </c>
      <c r="AP34" s="80">
        <v>1</v>
      </c>
      <c r="AQ34" s="80">
        <v>1</v>
      </c>
      <c r="AR34" s="80">
        <v>0.5</v>
      </c>
      <c r="AS34" s="80">
        <v>0</v>
      </c>
      <c r="AT34" s="80">
        <v>0.25</v>
      </c>
      <c r="AU34" s="80">
        <v>1</v>
      </c>
      <c r="AV34" s="68">
        <v>0.66666666666666663</v>
      </c>
      <c r="AW34" s="69" t="s">
        <v>131</v>
      </c>
      <c r="AX34" s="80">
        <v>1</v>
      </c>
      <c r="AY34" s="80">
        <v>0.25</v>
      </c>
      <c r="AZ34" s="80">
        <v>0</v>
      </c>
      <c r="BA34" s="80">
        <v>0</v>
      </c>
    </row>
    <row r="35" spans="1:53" x14ac:dyDescent="0.2">
      <c r="A35" s="12">
        <v>2024</v>
      </c>
      <c r="B35" s="11" t="s">
        <v>115</v>
      </c>
      <c r="C35" s="84" t="s">
        <v>55</v>
      </c>
      <c r="D35" s="83">
        <v>0.69270833333333326</v>
      </c>
      <c r="E35" s="70">
        <v>0.71875</v>
      </c>
      <c r="F35" s="81">
        <v>0.77777777777777768</v>
      </c>
      <c r="G35" s="80">
        <v>0.63888888888888884</v>
      </c>
      <c r="H35" s="79">
        <v>0.63541666666666652</v>
      </c>
      <c r="I35" s="81">
        <v>0.6875</v>
      </c>
      <c r="J35" s="80">
        <v>0.74999999999999989</v>
      </c>
      <c r="K35" s="80">
        <v>1</v>
      </c>
      <c r="L35" s="80">
        <v>0.55555555555555547</v>
      </c>
      <c r="M35" s="80">
        <v>0.33333333333333331</v>
      </c>
      <c r="N35" s="80">
        <v>1</v>
      </c>
      <c r="O35" s="80">
        <v>0.58333333333333337</v>
      </c>
      <c r="P35" s="80">
        <v>0.91666666666666652</v>
      </c>
      <c r="Q35" s="79">
        <v>0.35416666666666663</v>
      </c>
      <c r="R35" s="82">
        <v>1</v>
      </c>
      <c r="S35" s="80">
        <v>0.25</v>
      </c>
      <c r="T35" s="80">
        <v>0.75</v>
      </c>
      <c r="U35" s="80">
        <v>0.75</v>
      </c>
      <c r="V35" s="80">
        <v>1</v>
      </c>
      <c r="W35" s="80">
        <v>0.75</v>
      </c>
      <c r="X35" s="80">
        <v>0.5</v>
      </c>
      <c r="Y35" s="80">
        <v>1</v>
      </c>
      <c r="Z35" s="80">
        <v>1</v>
      </c>
      <c r="AA35" s="80">
        <v>1</v>
      </c>
      <c r="AB35" s="80">
        <v>0.5</v>
      </c>
      <c r="AC35" s="80">
        <v>1</v>
      </c>
      <c r="AD35" s="80">
        <v>0.75</v>
      </c>
      <c r="AE35" s="80">
        <v>0.5</v>
      </c>
      <c r="AF35" s="80">
        <v>0.33333333333333331</v>
      </c>
      <c r="AG35" s="80">
        <v>0.25</v>
      </c>
      <c r="AH35" s="80">
        <v>0</v>
      </c>
      <c r="AI35" s="80">
        <v>0</v>
      </c>
      <c r="AJ35" s="80">
        <v>0</v>
      </c>
      <c r="AK35" s="80">
        <v>0</v>
      </c>
      <c r="AL35" s="80">
        <v>1</v>
      </c>
      <c r="AM35" s="80">
        <v>1</v>
      </c>
      <c r="AN35" s="80">
        <v>1</v>
      </c>
      <c r="AO35" s="80">
        <v>1</v>
      </c>
      <c r="AP35" s="80">
        <v>1</v>
      </c>
      <c r="AQ35" s="80">
        <v>1</v>
      </c>
      <c r="AR35" s="80">
        <v>0.5</v>
      </c>
      <c r="AS35" s="80">
        <v>0.25</v>
      </c>
      <c r="AT35" s="80">
        <v>0.75</v>
      </c>
      <c r="AU35" s="80">
        <v>1</v>
      </c>
      <c r="AV35" s="80">
        <v>1</v>
      </c>
      <c r="AW35" s="69" t="s">
        <v>131</v>
      </c>
      <c r="AX35" s="80">
        <v>0.66666666666666663</v>
      </c>
      <c r="AY35" s="80">
        <v>0.75</v>
      </c>
      <c r="AZ35" s="80">
        <v>0</v>
      </c>
      <c r="BA35" s="80">
        <v>0</v>
      </c>
    </row>
    <row r="36" spans="1:53" x14ac:dyDescent="0.2">
      <c r="A36" s="12">
        <v>2024</v>
      </c>
      <c r="B36" s="11" t="s">
        <v>119</v>
      </c>
      <c r="C36" s="84" t="s">
        <v>55</v>
      </c>
      <c r="D36" s="83">
        <v>0.68229166666666652</v>
      </c>
      <c r="E36" s="81">
        <v>0.84375</v>
      </c>
      <c r="F36" s="81">
        <v>0.74652777777777779</v>
      </c>
      <c r="G36" s="80">
        <v>0.55555555555555558</v>
      </c>
      <c r="H36" s="79">
        <v>0.58333333333333326</v>
      </c>
      <c r="I36" s="81">
        <v>0.9375</v>
      </c>
      <c r="J36" s="80">
        <v>0.74999999999999989</v>
      </c>
      <c r="K36" s="80">
        <v>1</v>
      </c>
      <c r="L36" s="80">
        <v>0.49305555555555552</v>
      </c>
      <c r="M36" s="80">
        <v>0.33333333333333331</v>
      </c>
      <c r="N36" s="80">
        <v>0.66666666666666663</v>
      </c>
      <c r="O36" s="80">
        <v>0.66666666666666663</v>
      </c>
      <c r="P36" s="80">
        <v>0.83333333333333326</v>
      </c>
      <c r="Q36" s="79">
        <v>0.33333333333333331</v>
      </c>
      <c r="R36" s="82">
        <v>1</v>
      </c>
      <c r="S36" s="80">
        <v>1</v>
      </c>
      <c r="T36" s="80">
        <v>1</v>
      </c>
      <c r="U36" s="80">
        <v>0.75</v>
      </c>
      <c r="V36" s="80">
        <v>1</v>
      </c>
      <c r="W36" s="80">
        <v>0.75</v>
      </c>
      <c r="X36" s="80">
        <v>0.5</v>
      </c>
      <c r="Y36" s="80">
        <v>1</v>
      </c>
      <c r="Z36" s="80">
        <v>1</v>
      </c>
      <c r="AA36" s="80">
        <v>1</v>
      </c>
      <c r="AB36" s="80">
        <v>0.25</v>
      </c>
      <c r="AC36" s="80">
        <v>1</v>
      </c>
      <c r="AD36" s="80">
        <v>0.875</v>
      </c>
      <c r="AE36" s="80">
        <v>0.25</v>
      </c>
      <c r="AF36" s="80">
        <v>0.33333333333333331</v>
      </c>
      <c r="AG36" s="80">
        <v>0.25</v>
      </c>
      <c r="AH36" s="80">
        <v>0</v>
      </c>
      <c r="AI36" s="80">
        <v>0</v>
      </c>
      <c r="AJ36" s="80">
        <v>0</v>
      </c>
      <c r="AK36" s="80">
        <v>0</v>
      </c>
      <c r="AL36" s="80">
        <v>1</v>
      </c>
      <c r="AM36" s="80">
        <v>1</v>
      </c>
      <c r="AN36" s="80">
        <v>1</v>
      </c>
      <c r="AO36" s="80">
        <v>1</v>
      </c>
      <c r="AP36" s="80">
        <v>0</v>
      </c>
      <c r="AQ36" s="80">
        <v>1</v>
      </c>
      <c r="AR36" s="80">
        <v>0.5</v>
      </c>
      <c r="AS36" s="80">
        <v>0.5</v>
      </c>
      <c r="AT36" s="80">
        <v>0.5</v>
      </c>
      <c r="AU36" s="80">
        <v>1</v>
      </c>
      <c r="AV36" s="80">
        <v>1</v>
      </c>
      <c r="AW36" s="69" t="s">
        <v>131</v>
      </c>
      <c r="AX36" s="80">
        <v>0.33333333333333331</v>
      </c>
      <c r="AY36" s="80">
        <v>1</v>
      </c>
      <c r="AZ36" s="80">
        <v>0</v>
      </c>
      <c r="BA36" s="80">
        <v>0</v>
      </c>
    </row>
    <row r="37" spans="1:53" x14ac:dyDescent="0.2">
      <c r="A37" s="12">
        <v>2024</v>
      </c>
      <c r="B37" s="11" t="s">
        <v>109</v>
      </c>
      <c r="C37" s="84" t="s">
        <v>55</v>
      </c>
      <c r="D37" s="83">
        <v>0.68</v>
      </c>
      <c r="E37" s="70">
        <v>0.875</v>
      </c>
      <c r="F37" s="81">
        <v>0.59027777777777768</v>
      </c>
      <c r="G37" s="80">
        <v>0.66666666666666663</v>
      </c>
      <c r="H37" s="79">
        <v>0.57291666666666663</v>
      </c>
      <c r="I37" s="81">
        <v>1</v>
      </c>
      <c r="J37" s="80">
        <v>0.74999999999999989</v>
      </c>
      <c r="K37" s="80">
        <v>0.66666666666666663</v>
      </c>
      <c r="L37" s="80">
        <v>0.51388888888888884</v>
      </c>
      <c r="M37" s="80">
        <v>0.33333333333333331</v>
      </c>
      <c r="N37" s="80">
        <v>1</v>
      </c>
      <c r="O37" s="80">
        <v>0.66666666666666663</v>
      </c>
      <c r="P37" s="80">
        <v>0.91666666666666652</v>
      </c>
      <c r="Q37" s="79">
        <v>0.22916666666666666</v>
      </c>
      <c r="R37" s="82">
        <v>1</v>
      </c>
      <c r="S37" s="80">
        <v>1</v>
      </c>
      <c r="T37" s="80">
        <v>1</v>
      </c>
      <c r="U37" s="80">
        <v>1</v>
      </c>
      <c r="V37" s="80">
        <v>1</v>
      </c>
      <c r="W37" s="80">
        <v>0.75</v>
      </c>
      <c r="X37" s="80">
        <v>0.5</v>
      </c>
      <c r="Y37" s="80">
        <v>1</v>
      </c>
      <c r="Z37" s="80">
        <v>0</v>
      </c>
      <c r="AA37" s="80">
        <v>1</v>
      </c>
      <c r="AB37" s="80">
        <v>0.25</v>
      </c>
      <c r="AC37" s="80">
        <v>1</v>
      </c>
      <c r="AD37" s="80">
        <v>1</v>
      </c>
      <c r="AE37" s="80">
        <v>0.25</v>
      </c>
      <c r="AF37" s="80">
        <v>0.33333333333333331</v>
      </c>
      <c r="AG37" s="80">
        <v>0.25</v>
      </c>
      <c r="AH37" s="80">
        <v>0</v>
      </c>
      <c r="AI37" s="80">
        <v>0</v>
      </c>
      <c r="AJ37" s="80">
        <v>0</v>
      </c>
      <c r="AK37" s="80">
        <v>0</v>
      </c>
      <c r="AL37" s="80">
        <v>1</v>
      </c>
      <c r="AM37" s="80">
        <v>1</v>
      </c>
      <c r="AN37" s="80">
        <v>1</v>
      </c>
      <c r="AO37" s="80">
        <v>1</v>
      </c>
      <c r="AP37" s="80">
        <v>1</v>
      </c>
      <c r="AQ37" s="80">
        <v>1</v>
      </c>
      <c r="AR37" s="80">
        <v>1</v>
      </c>
      <c r="AS37" s="80">
        <v>0</v>
      </c>
      <c r="AT37" s="80">
        <v>0.75</v>
      </c>
      <c r="AU37" s="80">
        <v>1</v>
      </c>
      <c r="AV37" s="80">
        <v>1</v>
      </c>
      <c r="AW37" s="69" t="s">
        <v>131</v>
      </c>
      <c r="AX37" s="80">
        <v>0.66666666666666663</v>
      </c>
      <c r="AY37" s="80">
        <v>0.25</v>
      </c>
      <c r="AZ37" s="80">
        <v>0</v>
      </c>
      <c r="BA37" s="80">
        <v>0</v>
      </c>
    </row>
    <row r="38" spans="1:53" x14ac:dyDescent="0.2">
      <c r="A38" s="12">
        <v>2024</v>
      </c>
      <c r="B38" s="11" t="s">
        <v>125</v>
      </c>
      <c r="C38" s="84" t="s">
        <v>53</v>
      </c>
      <c r="D38" s="83">
        <v>0.67575231944444447</v>
      </c>
      <c r="E38" s="70">
        <v>0.65277777777777779</v>
      </c>
      <c r="F38" s="70">
        <v>0.84722222222222221</v>
      </c>
      <c r="G38" s="68">
        <v>0.60925927777777777</v>
      </c>
      <c r="H38" s="67">
        <v>0.59375</v>
      </c>
      <c r="I38" s="70">
        <v>0.75</v>
      </c>
      <c r="J38" s="68">
        <v>0.55555555555555558</v>
      </c>
      <c r="K38" s="68">
        <v>1</v>
      </c>
      <c r="L38" s="68">
        <v>0.69444444444444442</v>
      </c>
      <c r="M38" s="68">
        <v>0.41111116666666669</v>
      </c>
      <c r="N38" s="68">
        <v>0.66666666666666663</v>
      </c>
      <c r="O38" s="68">
        <v>0.75</v>
      </c>
      <c r="P38" s="68">
        <v>0.83333333333333326</v>
      </c>
      <c r="Q38" s="67">
        <v>0.35416666666666674</v>
      </c>
      <c r="R38" s="82">
        <v>1</v>
      </c>
      <c r="S38" s="80">
        <v>1</v>
      </c>
      <c r="T38" s="80">
        <v>0.5</v>
      </c>
      <c r="U38" s="80">
        <v>0.5</v>
      </c>
      <c r="V38" s="80">
        <v>0.66666666666666696</v>
      </c>
      <c r="W38" s="80">
        <v>0.5</v>
      </c>
      <c r="X38" s="80">
        <v>0.5</v>
      </c>
      <c r="Y38" s="80">
        <v>1</v>
      </c>
      <c r="Z38" s="80">
        <v>1</v>
      </c>
      <c r="AA38" s="80">
        <v>1</v>
      </c>
      <c r="AB38" s="80">
        <v>0.5</v>
      </c>
      <c r="AC38" s="80">
        <v>1</v>
      </c>
      <c r="AD38" s="80">
        <v>1</v>
      </c>
      <c r="AE38" s="80">
        <v>0.5</v>
      </c>
      <c r="AF38" s="68">
        <v>0.66666666666666663</v>
      </c>
      <c r="AG38" s="80">
        <v>0.5</v>
      </c>
      <c r="AH38" s="80">
        <v>0.4</v>
      </c>
      <c r="AI38" s="68">
        <v>6.6667000000000004E-2</v>
      </c>
      <c r="AJ38" s="80">
        <v>0</v>
      </c>
      <c r="AK38" s="80">
        <v>0</v>
      </c>
      <c r="AL38" s="80">
        <v>1</v>
      </c>
      <c r="AM38" s="80">
        <v>1</v>
      </c>
      <c r="AN38" s="80">
        <v>1</v>
      </c>
      <c r="AO38" s="80">
        <v>1</v>
      </c>
      <c r="AP38" s="80">
        <v>0</v>
      </c>
      <c r="AQ38" s="80">
        <v>1</v>
      </c>
      <c r="AR38" s="80">
        <v>1</v>
      </c>
      <c r="AS38" s="80">
        <v>0.25</v>
      </c>
      <c r="AT38" s="80">
        <v>0.5</v>
      </c>
      <c r="AU38" s="80">
        <v>1</v>
      </c>
      <c r="AV38" s="80">
        <v>1</v>
      </c>
      <c r="AW38" s="69" t="s">
        <v>131</v>
      </c>
      <c r="AX38" s="85">
        <v>0.66666666666666696</v>
      </c>
      <c r="AY38" s="80">
        <v>0.75</v>
      </c>
      <c r="AZ38" s="80">
        <v>0</v>
      </c>
      <c r="BA38" s="80">
        <v>0</v>
      </c>
    </row>
    <row r="39" spans="1:53" x14ac:dyDescent="0.2">
      <c r="A39" s="12">
        <v>2024</v>
      </c>
      <c r="B39" s="11" t="s">
        <v>120</v>
      </c>
      <c r="C39" s="84" t="s">
        <v>55</v>
      </c>
      <c r="D39" s="83">
        <v>0.66493055555555558</v>
      </c>
      <c r="E39" s="81">
        <v>0.76736111111111105</v>
      </c>
      <c r="F39" s="81">
        <v>0.75</v>
      </c>
      <c r="G39" s="80">
        <v>0.66666666666666663</v>
      </c>
      <c r="H39" s="79">
        <v>0.47569444444444442</v>
      </c>
      <c r="I39" s="81">
        <v>0.8125</v>
      </c>
      <c r="J39" s="80">
        <v>0.7222222222222221</v>
      </c>
      <c r="K39" s="80">
        <v>0.66666666666666663</v>
      </c>
      <c r="L39" s="80">
        <v>0.83333333333333326</v>
      </c>
      <c r="M39" s="80">
        <v>0.33333333333333331</v>
      </c>
      <c r="N39" s="80">
        <v>1</v>
      </c>
      <c r="O39" s="80">
        <v>0.66666666666666663</v>
      </c>
      <c r="P39" s="80">
        <v>0.80555555555555547</v>
      </c>
      <c r="Q39" s="79">
        <v>0.14583333333333331</v>
      </c>
      <c r="R39" s="82">
        <v>1</v>
      </c>
      <c r="S39" s="80">
        <v>1</v>
      </c>
      <c r="T39" s="80">
        <v>0.75</v>
      </c>
      <c r="U39" s="80">
        <v>0.5</v>
      </c>
      <c r="V39" s="80">
        <v>0.66666666666666663</v>
      </c>
      <c r="W39" s="80">
        <v>0.5</v>
      </c>
      <c r="X39" s="80">
        <v>1</v>
      </c>
      <c r="Y39" s="80">
        <v>1</v>
      </c>
      <c r="Z39" s="80">
        <v>0</v>
      </c>
      <c r="AA39" s="80">
        <v>1</v>
      </c>
      <c r="AB39" s="80">
        <v>0.75</v>
      </c>
      <c r="AC39" s="80">
        <v>1</v>
      </c>
      <c r="AD39" s="80">
        <v>1</v>
      </c>
      <c r="AE39" s="80">
        <v>0.5</v>
      </c>
      <c r="AF39" s="80">
        <v>1</v>
      </c>
      <c r="AG39" s="80">
        <v>0.75</v>
      </c>
      <c r="AH39" s="80">
        <v>0</v>
      </c>
      <c r="AI39" s="80">
        <v>0</v>
      </c>
      <c r="AJ39" s="80">
        <v>0</v>
      </c>
      <c r="AK39" s="80">
        <v>0</v>
      </c>
      <c r="AL39" s="80">
        <v>1</v>
      </c>
      <c r="AM39" s="80">
        <v>1</v>
      </c>
      <c r="AN39" s="80">
        <v>1</v>
      </c>
      <c r="AO39" s="80">
        <v>1</v>
      </c>
      <c r="AP39" s="80">
        <v>1</v>
      </c>
      <c r="AQ39" s="80">
        <v>1</v>
      </c>
      <c r="AR39" s="80">
        <v>1</v>
      </c>
      <c r="AS39" s="80">
        <v>0</v>
      </c>
      <c r="AT39" s="80">
        <v>0.75</v>
      </c>
      <c r="AU39" s="80">
        <v>1</v>
      </c>
      <c r="AV39" s="80">
        <v>0.66666666666666663</v>
      </c>
      <c r="AW39" s="69" t="s">
        <v>131</v>
      </c>
      <c r="AX39" s="80">
        <v>0.33333333333333331</v>
      </c>
      <c r="AY39" s="80">
        <v>0.25</v>
      </c>
      <c r="AZ39" s="80">
        <v>0</v>
      </c>
      <c r="BA39" s="80">
        <v>0</v>
      </c>
    </row>
    <row r="40" spans="1:53" x14ac:dyDescent="0.2">
      <c r="A40" s="12">
        <v>2024</v>
      </c>
      <c r="B40" s="11" t="s">
        <v>127</v>
      </c>
      <c r="C40" s="84" t="s">
        <v>53</v>
      </c>
      <c r="D40" s="83">
        <v>0.65812499999999996</v>
      </c>
      <c r="E40" s="70">
        <v>0.64583333333333326</v>
      </c>
      <c r="F40" s="70">
        <v>0.92708333333333326</v>
      </c>
      <c r="G40" s="68">
        <v>0.58333333333333326</v>
      </c>
      <c r="H40" s="67">
        <v>0.47624999999999995</v>
      </c>
      <c r="I40" s="70">
        <v>0.625</v>
      </c>
      <c r="J40" s="68">
        <v>0.66666666666666663</v>
      </c>
      <c r="K40" s="68">
        <v>1</v>
      </c>
      <c r="L40" s="68">
        <v>0.85416666666666663</v>
      </c>
      <c r="M40" s="68">
        <v>0.16666666666666666</v>
      </c>
      <c r="N40" s="68">
        <v>1</v>
      </c>
      <c r="O40" s="68">
        <v>0.58333333333333337</v>
      </c>
      <c r="P40" s="68">
        <v>0.6399999999999999</v>
      </c>
      <c r="Q40" s="67">
        <v>0.3125</v>
      </c>
      <c r="R40" s="71">
        <v>1</v>
      </c>
      <c r="S40" s="68">
        <v>1</v>
      </c>
      <c r="T40" s="68">
        <v>0.5</v>
      </c>
      <c r="U40" s="68">
        <v>0</v>
      </c>
      <c r="V40" s="68">
        <v>1</v>
      </c>
      <c r="W40" s="68">
        <v>0.5</v>
      </c>
      <c r="X40" s="68">
        <v>0.5</v>
      </c>
      <c r="Y40" s="68">
        <v>1</v>
      </c>
      <c r="Z40" s="68">
        <v>1</v>
      </c>
      <c r="AA40" s="68">
        <v>1</v>
      </c>
      <c r="AB40" s="68">
        <v>1</v>
      </c>
      <c r="AC40" s="68">
        <v>1</v>
      </c>
      <c r="AD40" s="68">
        <v>0.875</v>
      </c>
      <c r="AE40" s="68">
        <v>0.75</v>
      </c>
      <c r="AF40" s="68">
        <v>1</v>
      </c>
      <c r="AG40" s="68">
        <v>0.5</v>
      </c>
      <c r="AH40" s="68">
        <v>0</v>
      </c>
      <c r="AI40" s="68">
        <v>0</v>
      </c>
      <c r="AJ40" s="68">
        <v>0</v>
      </c>
      <c r="AK40" s="68">
        <v>0</v>
      </c>
      <c r="AL40" s="68">
        <v>0</v>
      </c>
      <c r="AM40" s="68">
        <v>1</v>
      </c>
      <c r="AN40" s="68">
        <v>1</v>
      </c>
      <c r="AO40" s="68">
        <v>1</v>
      </c>
      <c r="AP40" s="68">
        <v>1</v>
      </c>
      <c r="AQ40" s="68">
        <v>1</v>
      </c>
      <c r="AR40" s="68">
        <v>0.5</v>
      </c>
      <c r="AS40" s="68">
        <v>0.25</v>
      </c>
      <c r="AT40" s="68">
        <v>0.25</v>
      </c>
      <c r="AU40" s="68">
        <v>1</v>
      </c>
      <c r="AV40" s="68">
        <v>0.67</v>
      </c>
      <c r="AW40" s="69" t="s">
        <v>131</v>
      </c>
      <c r="AX40" s="68">
        <v>1</v>
      </c>
      <c r="AY40" s="68">
        <v>0.25</v>
      </c>
      <c r="AZ40" s="68">
        <v>0</v>
      </c>
      <c r="BA40" s="68">
        <v>0</v>
      </c>
    </row>
    <row r="41" spans="1:53" x14ac:dyDescent="0.2">
      <c r="A41" s="12">
        <v>2024</v>
      </c>
      <c r="B41" s="11" t="s">
        <v>118</v>
      </c>
      <c r="C41" s="84" t="s">
        <v>55</v>
      </c>
      <c r="D41" s="83">
        <v>0.65131944444444445</v>
      </c>
      <c r="E41" s="70">
        <v>0.55902777777777779</v>
      </c>
      <c r="F41" s="70">
        <v>0.77083333333333326</v>
      </c>
      <c r="G41" s="68">
        <v>0.68166666666666664</v>
      </c>
      <c r="H41" s="67">
        <v>0.59375</v>
      </c>
      <c r="I41" s="70">
        <v>0.5625</v>
      </c>
      <c r="J41" s="68">
        <v>0.55555555555555558</v>
      </c>
      <c r="K41" s="68">
        <v>1</v>
      </c>
      <c r="L41" s="68">
        <v>0.54166666666666663</v>
      </c>
      <c r="M41" s="68">
        <v>0.3783333333333333</v>
      </c>
      <c r="N41" s="68">
        <v>1</v>
      </c>
      <c r="O41" s="68">
        <v>0.66666666666666663</v>
      </c>
      <c r="P41" s="68">
        <v>0.83333333333333326</v>
      </c>
      <c r="Q41" s="67">
        <v>0.35416666666666663</v>
      </c>
      <c r="R41" s="91">
        <v>1</v>
      </c>
      <c r="S41" s="90">
        <v>1</v>
      </c>
      <c r="T41" s="90">
        <v>0.25</v>
      </c>
      <c r="U41" s="90">
        <v>0</v>
      </c>
      <c r="V41" s="85">
        <v>0.66666666666666696</v>
      </c>
      <c r="W41" s="90">
        <v>0.5</v>
      </c>
      <c r="X41" s="90">
        <v>0.5</v>
      </c>
      <c r="Y41" s="90">
        <v>1</v>
      </c>
      <c r="Z41" s="90">
        <v>1</v>
      </c>
      <c r="AA41" s="90">
        <v>1</v>
      </c>
      <c r="AB41" s="90">
        <v>0.75</v>
      </c>
      <c r="AC41" s="90">
        <v>1</v>
      </c>
      <c r="AD41" s="90">
        <v>1</v>
      </c>
      <c r="AE41" s="90">
        <v>0.5</v>
      </c>
      <c r="AF41" s="90">
        <v>0</v>
      </c>
      <c r="AG41" s="90">
        <v>0</v>
      </c>
      <c r="AH41" s="90">
        <v>0.2</v>
      </c>
      <c r="AI41" s="90">
        <v>0</v>
      </c>
      <c r="AJ41" s="90">
        <v>7.0000000000000007E-2</v>
      </c>
      <c r="AK41" s="90">
        <v>0</v>
      </c>
      <c r="AL41" s="90">
        <v>1</v>
      </c>
      <c r="AM41" s="90">
        <v>1</v>
      </c>
      <c r="AN41" s="90">
        <v>1</v>
      </c>
      <c r="AO41" s="90">
        <v>1</v>
      </c>
      <c r="AP41" s="90">
        <v>1</v>
      </c>
      <c r="AQ41" s="90">
        <v>1</v>
      </c>
      <c r="AR41" s="90">
        <v>0.5</v>
      </c>
      <c r="AS41" s="90">
        <v>0.5</v>
      </c>
      <c r="AT41" s="90">
        <v>0.5</v>
      </c>
      <c r="AU41" s="90">
        <v>1</v>
      </c>
      <c r="AV41" s="90">
        <v>1</v>
      </c>
      <c r="AW41" s="69" t="s">
        <v>131</v>
      </c>
      <c r="AX41" s="85">
        <v>0.66666666666666663</v>
      </c>
      <c r="AY41" s="90">
        <v>0.75</v>
      </c>
      <c r="AZ41" s="90">
        <v>0</v>
      </c>
      <c r="BA41" s="90">
        <v>0</v>
      </c>
    </row>
    <row r="42" spans="1:53" x14ac:dyDescent="0.2">
      <c r="A42" s="12">
        <v>2024</v>
      </c>
      <c r="B42" s="11" t="s">
        <v>116</v>
      </c>
      <c r="C42" s="84" t="s">
        <v>55</v>
      </c>
      <c r="D42" s="83">
        <v>0.63713888888888881</v>
      </c>
      <c r="E42" s="70">
        <v>0.64924999999999999</v>
      </c>
      <c r="F42" s="70">
        <v>0.80902777777777779</v>
      </c>
      <c r="G42" s="68">
        <v>0.61111111111111105</v>
      </c>
      <c r="H42" s="67">
        <v>0.47916666666666663</v>
      </c>
      <c r="I42" s="70">
        <v>0.6875</v>
      </c>
      <c r="J42" s="68">
        <v>0.61099999999999999</v>
      </c>
      <c r="K42" s="68">
        <v>1</v>
      </c>
      <c r="L42" s="68">
        <v>0.61805555555555558</v>
      </c>
      <c r="M42" s="68">
        <v>0.33333333333333331</v>
      </c>
      <c r="N42" s="68">
        <v>1</v>
      </c>
      <c r="O42" s="68">
        <v>0.5</v>
      </c>
      <c r="P42" s="68">
        <v>0.75</v>
      </c>
      <c r="Q42" s="67">
        <v>0.20833333333333331</v>
      </c>
      <c r="R42" s="82">
        <v>1</v>
      </c>
      <c r="S42" s="80">
        <v>1</v>
      </c>
      <c r="T42" s="80">
        <v>0.75</v>
      </c>
      <c r="U42" s="80">
        <v>0</v>
      </c>
      <c r="V42" s="86">
        <v>0.33300000000000002</v>
      </c>
      <c r="W42" s="80">
        <v>0.5</v>
      </c>
      <c r="X42" s="80">
        <v>1</v>
      </c>
      <c r="Y42" s="80">
        <v>1</v>
      </c>
      <c r="Z42" s="80">
        <v>1</v>
      </c>
      <c r="AA42" s="80">
        <v>1</v>
      </c>
      <c r="AB42" s="80">
        <v>0.5</v>
      </c>
      <c r="AC42" s="80">
        <v>1</v>
      </c>
      <c r="AD42" s="80">
        <v>0.875</v>
      </c>
      <c r="AE42" s="80">
        <v>0.5</v>
      </c>
      <c r="AF42" s="86">
        <v>0.33333333333333331</v>
      </c>
      <c r="AG42" s="80">
        <v>0.5</v>
      </c>
      <c r="AH42" s="80">
        <v>0</v>
      </c>
      <c r="AI42" s="80">
        <v>0</v>
      </c>
      <c r="AJ42" s="80">
        <v>0</v>
      </c>
      <c r="AK42" s="80">
        <v>0</v>
      </c>
      <c r="AL42" s="80">
        <v>1</v>
      </c>
      <c r="AM42" s="80">
        <v>1</v>
      </c>
      <c r="AN42" s="80">
        <v>1</v>
      </c>
      <c r="AO42" s="80">
        <v>1</v>
      </c>
      <c r="AP42" s="80">
        <v>1</v>
      </c>
      <c r="AQ42" s="80">
        <v>1</v>
      </c>
      <c r="AR42" s="80">
        <v>0.5</v>
      </c>
      <c r="AS42" s="80">
        <v>0</v>
      </c>
      <c r="AT42" s="80">
        <v>0.25</v>
      </c>
      <c r="AU42" s="80">
        <v>1</v>
      </c>
      <c r="AV42" s="80">
        <v>1</v>
      </c>
      <c r="AW42" s="69" t="s">
        <v>131</v>
      </c>
      <c r="AX42" s="80">
        <v>0.33333333333333331</v>
      </c>
      <c r="AY42" s="80">
        <v>0.5</v>
      </c>
      <c r="AZ42" s="80">
        <v>0</v>
      </c>
      <c r="BA42" s="80">
        <v>0</v>
      </c>
    </row>
    <row r="43" spans="1:53" x14ac:dyDescent="0.2">
      <c r="A43" s="12">
        <v>2024</v>
      </c>
      <c r="B43" s="11" t="s">
        <v>86</v>
      </c>
      <c r="C43" s="84" t="s">
        <v>55</v>
      </c>
      <c r="D43" s="83">
        <v>0.62670833333333342</v>
      </c>
      <c r="E43" s="70">
        <v>0.51736111111111116</v>
      </c>
      <c r="F43" s="70">
        <v>0.86111111111111116</v>
      </c>
      <c r="G43" s="68">
        <v>0.61111111111111105</v>
      </c>
      <c r="H43" s="67">
        <v>0.51724999999999999</v>
      </c>
      <c r="I43" s="70">
        <v>0.5625</v>
      </c>
      <c r="J43" s="68">
        <v>0.47222222222222232</v>
      </c>
      <c r="K43" s="68">
        <v>1</v>
      </c>
      <c r="L43" s="68">
        <v>0.72222222222222221</v>
      </c>
      <c r="M43" s="68">
        <v>0.33333333333333331</v>
      </c>
      <c r="N43" s="68">
        <v>1</v>
      </c>
      <c r="O43" s="68">
        <v>0.5</v>
      </c>
      <c r="P43" s="68">
        <v>0.72199999999999998</v>
      </c>
      <c r="Q43" s="67">
        <v>0.3125</v>
      </c>
      <c r="R43" s="82">
        <v>1</v>
      </c>
      <c r="S43" s="80">
        <v>1</v>
      </c>
      <c r="T43" s="80">
        <v>0.25</v>
      </c>
      <c r="U43" s="80">
        <v>0</v>
      </c>
      <c r="V43" s="80">
        <v>0.66666666666666696</v>
      </c>
      <c r="W43" s="80">
        <v>0.25</v>
      </c>
      <c r="X43" s="80">
        <v>0.5</v>
      </c>
      <c r="Y43" s="80">
        <v>1</v>
      </c>
      <c r="Z43" s="80">
        <v>1</v>
      </c>
      <c r="AA43" s="80">
        <v>1</v>
      </c>
      <c r="AB43" s="80">
        <v>0.75</v>
      </c>
      <c r="AC43" s="80">
        <v>1</v>
      </c>
      <c r="AD43" s="80">
        <v>0.75</v>
      </c>
      <c r="AE43" s="80">
        <v>0.75</v>
      </c>
      <c r="AF43" s="86">
        <v>0.33333333333333331</v>
      </c>
      <c r="AG43" s="80">
        <v>0.75</v>
      </c>
      <c r="AH43" s="80">
        <v>0</v>
      </c>
      <c r="AI43" s="80">
        <v>0</v>
      </c>
      <c r="AJ43" s="80">
        <v>0</v>
      </c>
      <c r="AK43" s="80">
        <v>0</v>
      </c>
      <c r="AL43" s="80">
        <v>1</v>
      </c>
      <c r="AM43" s="80">
        <v>1</v>
      </c>
      <c r="AN43" s="80">
        <v>1</v>
      </c>
      <c r="AO43" s="80">
        <v>1</v>
      </c>
      <c r="AP43" s="80">
        <v>1</v>
      </c>
      <c r="AQ43" s="80">
        <v>1</v>
      </c>
      <c r="AR43" s="80">
        <v>0.5</v>
      </c>
      <c r="AS43" s="80">
        <v>0</v>
      </c>
      <c r="AT43" s="80">
        <v>0.5</v>
      </c>
      <c r="AU43" s="80">
        <v>1</v>
      </c>
      <c r="AV43" s="86">
        <v>0.66600000000000004</v>
      </c>
      <c r="AW43" s="69" t="s">
        <v>131</v>
      </c>
      <c r="AX43" s="80">
        <v>1</v>
      </c>
      <c r="AY43" s="80">
        <v>0.25</v>
      </c>
      <c r="AZ43" s="80">
        <v>0</v>
      </c>
      <c r="BA43" s="80">
        <v>0</v>
      </c>
    </row>
    <row r="44" spans="1:53" x14ac:dyDescent="0.2">
      <c r="A44" s="12">
        <v>2024</v>
      </c>
      <c r="B44" s="11" t="s">
        <v>104</v>
      </c>
      <c r="C44" s="84" t="s">
        <v>53</v>
      </c>
      <c r="D44" s="83">
        <v>0.62278935185185191</v>
      </c>
      <c r="E44" s="70">
        <v>0.72916666666666663</v>
      </c>
      <c r="F44" s="70">
        <v>0.69444444444444442</v>
      </c>
      <c r="G44" s="68">
        <v>0.54629629629629628</v>
      </c>
      <c r="H44" s="67">
        <v>0.52124999999999999</v>
      </c>
      <c r="I44" s="70">
        <v>0.875</v>
      </c>
      <c r="J44" s="68">
        <v>0.58333333333333326</v>
      </c>
      <c r="K44" s="68">
        <v>0.66666666666666663</v>
      </c>
      <c r="L44" s="68">
        <v>0.72222222222222221</v>
      </c>
      <c r="M44" s="68">
        <v>0.55555555555555547</v>
      </c>
      <c r="N44" s="68">
        <v>0.33333333333333331</v>
      </c>
      <c r="O44" s="68">
        <v>0.75</v>
      </c>
      <c r="P44" s="68">
        <v>0.75</v>
      </c>
      <c r="Q44" s="67">
        <v>0.29249999999999998</v>
      </c>
      <c r="R44" s="71">
        <v>1</v>
      </c>
      <c r="S44" s="68">
        <v>1</v>
      </c>
      <c r="T44" s="68">
        <v>1</v>
      </c>
      <c r="U44" s="68">
        <v>0.5</v>
      </c>
      <c r="V44" s="68">
        <v>1</v>
      </c>
      <c r="W44" s="68">
        <v>0.25</v>
      </c>
      <c r="X44" s="67">
        <v>0.5</v>
      </c>
      <c r="Y44" s="70">
        <v>1</v>
      </c>
      <c r="Z44" s="68">
        <v>1</v>
      </c>
      <c r="AA44" s="68">
        <v>0</v>
      </c>
      <c r="AB44" s="68">
        <v>0.75</v>
      </c>
      <c r="AC44" s="68">
        <v>1</v>
      </c>
      <c r="AD44" s="68">
        <v>0.75</v>
      </c>
      <c r="AE44" s="68">
        <v>0.75</v>
      </c>
      <c r="AF44" s="68">
        <v>0.33333333333333331</v>
      </c>
      <c r="AG44" s="67">
        <v>0.75</v>
      </c>
      <c r="AH44" s="70">
        <v>1</v>
      </c>
      <c r="AI44" s="68">
        <v>0</v>
      </c>
      <c r="AJ44" s="68">
        <v>0.33333333333333331</v>
      </c>
      <c r="AK44" s="68">
        <v>0</v>
      </c>
      <c r="AL44" s="68">
        <v>1</v>
      </c>
      <c r="AM44" s="68">
        <v>1</v>
      </c>
      <c r="AN44" s="68">
        <v>1</v>
      </c>
      <c r="AO44" s="68">
        <v>0</v>
      </c>
      <c r="AP44" s="68">
        <v>0</v>
      </c>
      <c r="AQ44" s="68">
        <v>1</v>
      </c>
      <c r="AR44" s="68">
        <v>1</v>
      </c>
      <c r="AS44" s="67">
        <v>0.25</v>
      </c>
      <c r="AT44" s="70">
        <v>0.25</v>
      </c>
      <c r="AU44" s="68">
        <v>1</v>
      </c>
      <c r="AV44" s="68">
        <v>1</v>
      </c>
      <c r="AW44" s="69" t="s">
        <v>131</v>
      </c>
      <c r="AX44" s="68">
        <v>0.67</v>
      </c>
      <c r="AY44" s="68">
        <v>0.5</v>
      </c>
      <c r="AZ44" s="68">
        <v>0</v>
      </c>
      <c r="BA44" s="67">
        <v>0</v>
      </c>
    </row>
    <row r="45" spans="1:53" x14ac:dyDescent="0.2">
      <c r="A45" s="12">
        <v>2024</v>
      </c>
      <c r="B45" s="11" t="s">
        <v>106</v>
      </c>
      <c r="C45" s="84" t="s">
        <v>53</v>
      </c>
      <c r="D45" s="83">
        <v>0.62235416666666654</v>
      </c>
      <c r="E45" s="70">
        <v>0.80549999999999999</v>
      </c>
      <c r="F45" s="70">
        <v>0.77777777777777768</v>
      </c>
      <c r="G45" s="68">
        <v>0.38888888888888884</v>
      </c>
      <c r="H45" s="67">
        <v>0.51724999999999999</v>
      </c>
      <c r="I45" s="70">
        <v>1</v>
      </c>
      <c r="J45" s="68">
        <v>0.61099999999999999</v>
      </c>
      <c r="K45" s="68">
        <v>1</v>
      </c>
      <c r="L45" s="68">
        <v>0.55555555555555547</v>
      </c>
      <c r="M45" s="68">
        <v>0.33333333333333331</v>
      </c>
      <c r="N45" s="68">
        <v>0.33333333333333331</v>
      </c>
      <c r="O45" s="68">
        <v>0.5</v>
      </c>
      <c r="P45" s="68">
        <v>0.72199999999999986</v>
      </c>
      <c r="Q45" s="67">
        <v>0.3125</v>
      </c>
      <c r="R45" s="89">
        <v>1</v>
      </c>
      <c r="S45" s="86">
        <v>1</v>
      </c>
      <c r="T45" s="86">
        <v>1</v>
      </c>
      <c r="U45" s="86">
        <v>1</v>
      </c>
      <c r="V45" s="86">
        <v>0.33300000000000002</v>
      </c>
      <c r="W45" s="86">
        <v>0.5</v>
      </c>
      <c r="X45" s="87">
        <v>1</v>
      </c>
      <c r="Y45" s="88">
        <v>1</v>
      </c>
      <c r="Z45" s="86">
        <v>1</v>
      </c>
      <c r="AA45" s="86">
        <v>1</v>
      </c>
      <c r="AB45" s="86">
        <v>0.25</v>
      </c>
      <c r="AC45" s="86">
        <v>1</v>
      </c>
      <c r="AD45" s="86">
        <v>1</v>
      </c>
      <c r="AE45" s="86">
        <v>0.5</v>
      </c>
      <c r="AF45" s="86">
        <v>0.33333333333333331</v>
      </c>
      <c r="AG45" s="87">
        <v>0.25</v>
      </c>
      <c r="AH45" s="88">
        <v>0</v>
      </c>
      <c r="AI45" s="86">
        <v>0</v>
      </c>
      <c r="AJ45" s="86">
        <v>0</v>
      </c>
      <c r="AK45" s="86">
        <v>0</v>
      </c>
      <c r="AL45" s="86">
        <v>1</v>
      </c>
      <c r="AM45" s="86">
        <v>1</v>
      </c>
      <c r="AN45" s="86">
        <v>1</v>
      </c>
      <c r="AO45" s="86">
        <v>0</v>
      </c>
      <c r="AP45" s="86">
        <v>0</v>
      </c>
      <c r="AQ45" s="86">
        <v>1</v>
      </c>
      <c r="AR45" s="86">
        <v>0.5</v>
      </c>
      <c r="AS45" s="87">
        <v>0</v>
      </c>
      <c r="AT45" s="88">
        <v>0.5</v>
      </c>
      <c r="AU45" s="86">
        <v>0.99999999999999989</v>
      </c>
      <c r="AV45" s="86">
        <v>0.66600000000000004</v>
      </c>
      <c r="AW45" s="69" t="s">
        <v>131</v>
      </c>
      <c r="AX45" s="86">
        <v>1</v>
      </c>
      <c r="AY45" s="86">
        <v>0.25</v>
      </c>
      <c r="AZ45" s="86">
        <v>0</v>
      </c>
      <c r="BA45" s="87">
        <v>0</v>
      </c>
    </row>
    <row r="46" spans="1:53" x14ac:dyDescent="0.2">
      <c r="A46" s="12">
        <v>2024</v>
      </c>
      <c r="B46" s="11" t="s">
        <v>108</v>
      </c>
      <c r="C46" s="84" t="s">
        <v>53</v>
      </c>
      <c r="D46" s="83">
        <v>0.61977777777777776</v>
      </c>
      <c r="E46" s="70">
        <v>0.60758333333333336</v>
      </c>
      <c r="F46" s="70">
        <v>0.75694444444444442</v>
      </c>
      <c r="G46" s="68">
        <v>0.58333333333333326</v>
      </c>
      <c r="H46" s="67">
        <v>0.53125</v>
      </c>
      <c r="I46" s="70">
        <v>0.6875</v>
      </c>
      <c r="J46" s="68">
        <v>0.52766666666666662</v>
      </c>
      <c r="K46" s="68">
        <v>1</v>
      </c>
      <c r="L46" s="68">
        <v>0.51388888888888884</v>
      </c>
      <c r="M46" s="68">
        <v>0.16666666666666666</v>
      </c>
      <c r="N46" s="68">
        <v>1</v>
      </c>
      <c r="O46" s="68">
        <v>0.58333333333333337</v>
      </c>
      <c r="P46" s="68">
        <v>0.83333333333333326</v>
      </c>
      <c r="Q46" s="67">
        <v>0.22916666666666666</v>
      </c>
      <c r="R46" s="82">
        <v>1</v>
      </c>
      <c r="S46" s="80">
        <v>1</v>
      </c>
      <c r="T46" s="80">
        <v>0.5</v>
      </c>
      <c r="U46" s="80">
        <v>0.25</v>
      </c>
      <c r="V46" s="86">
        <v>0.33300000000000002</v>
      </c>
      <c r="W46" s="80">
        <v>0.75</v>
      </c>
      <c r="X46" s="79">
        <v>0.5</v>
      </c>
      <c r="Y46" s="81">
        <v>1</v>
      </c>
      <c r="Z46" s="80">
        <v>1</v>
      </c>
      <c r="AA46" s="80">
        <v>1</v>
      </c>
      <c r="AB46" s="80">
        <v>0.25</v>
      </c>
      <c r="AC46" s="80">
        <v>1</v>
      </c>
      <c r="AD46" s="80">
        <v>1</v>
      </c>
      <c r="AE46" s="80">
        <v>0.25</v>
      </c>
      <c r="AF46" s="68">
        <v>0.33333333333333331</v>
      </c>
      <c r="AG46" s="79">
        <v>0.25</v>
      </c>
      <c r="AH46" s="81">
        <v>0</v>
      </c>
      <c r="AI46" s="80">
        <v>0</v>
      </c>
      <c r="AJ46" s="80">
        <v>0</v>
      </c>
      <c r="AK46" s="80">
        <v>0</v>
      </c>
      <c r="AL46" s="80">
        <v>1</v>
      </c>
      <c r="AM46" s="80">
        <v>0</v>
      </c>
      <c r="AN46" s="80">
        <v>1</v>
      </c>
      <c r="AO46" s="80">
        <v>1</v>
      </c>
      <c r="AP46" s="80">
        <v>1</v>
      </c>
      <c r="AQ46" s="80">
        <v>1</v>
      </c>
      <c r="AR46" s="80">
        <v>0.5</v>
      </c>
      <c r="AS46" s="79">
        <v>0.25</v>
      </c>
      <c r="AT46" s="81">
        <v>0.5</v>
      </c>
      <c r="AU46" s="80">
        <v>1</v>
      </c>
      <c r="AV46" s="80">
        <v>1</v>
      </c>
      <c r="AW46" s="69" t="s">
        <v>131</v>
      </c>
      <c r="AX46" s="68">
        <v>0.66666666666666663</v>
      </c>
      <c r="AY46" s="80">
        <v>0.25</v>
      </c>
      <c r="AZ46" s="80">
        <v>0</v>
      </c>
      <c r="BA46" s="79">
        <v>0</v>
      </c>
    </row>
    <row r="47" spans="1:53" x14ac:dyDescent="0.2">
      <c r="A47" s="12">
        <v>2024</v>
      </c>
      <c r="B47" s="11" t="s">
        <v>126</v>
      </c>
      <c r="C47" s="84" t="s">
        <v>53</v>
      </c>
      <c r="D47" s="83">
        <v>0.61496527777777776</v>
      </c>
      <c r="E47" s="70">
        <v>0.59027777777777779</v>
      </c>
      <c r="F47" s="70">
        <v>0.75694444444444442</v>
      </c>
      <c r="G47" s="68">
        <v>0.51888888888888884</v>
      </c>
      <c r="H47" s="67">
        <v>0.59374999999999989</v>
      </c>
      <c r="I47" s="70">
        <v>0.625</v>
      </c>
      <c r="J47" s="68">
        <v>0.55555555555555558</v>
      </c>
      <c r="K47" s="68">
        <v>1</v>
      </c>
      <c r="L47" s="68">
        <v>0.51388888888888884</v>
      </c>
      <c r="M47" s="68">
        <v>0.39</v>
      </c>
      <c r="N47" s="68">
        <v>0.33333333333333331</v>
      </c>
      <c r="O47" s="68">
        <v>0.83333333333333326</v>
      </c>
      <c r="P47" s="68">
        <v>0.91666666666666652</v>
      </c>
      <c r="Q47" s="67">
        <v>0.27083333333333331</v>
      </c>
      <c r="R47" s="82">
        <v>1</v>
      </c>
      <c r="S47" s="80">
        <v>1</v>
      </c>
      <c r="T47" s="80">
        <v>0.5</v>
      </c>
      <c r="U47" s="80">
        <v>0</v>
      </c>
      <c r="V47" s="80">
        <v>0.66666666666666696</v>
      </c>
      <c r="W47" s="80">
        <v>1</v>
      </c>
      <c r="X47" s="79">
        <v>0</v>
      </c>
      <c r="Y47" s="81">
        <v>1</v>
      </c>
      <c r="Z47" s="80">
        <v>1</v>
      </c>
      <c r="AA47" s="80">
        <v>1</v>
      </c>
      <c r="AB47" s="80">
        <v>0.25</v>
      </c>
      <c r="AC47" s="80">
        <v>1</v>
      </c>
      <c r="AD47" s="80">
        <v>1</v>
      </c>
      <c r="AE47" s="80">
        <v>0.25</v>
      </c>
      <c r="AF47" s="86">
        <v>0.33333333333333331</v>
      </c>
      <c r="AG47" s="79">
        <v>0.25</v>
      </c>
      <c r="AH47" s="81">
        <v>0.28999999999999998</v>
      </c>
      <c r="AI47" s="80">
        <v>0</v>
      </c>
      <c r="AJ47" s="80">
        <v>0.05</v>
      </c>
      <c r="AK47" s="80">
        <v>0</v>
      </c>
      <c r="AL47" s="80">
        <v>1</v>
      </c>
      <c r="AM47" s="80">
        <v>1</v>
      </c>
      <c r="AN47" s="80">
        <v>1</v>
      </c>
      <c r="AO47" s="80">
        <v>0</v>
      </c>
      <c r="AP47" s="80">
        <v>0</v>
      </c>
      <c r="AQ47" s="80">
        <v>1</v>
      </c>
      <c r="AR47" s="80">
        <v>0.5</v>
      </c>
      <c r="AS47" s="79">
        <v>1</v>
      </c>
      <c r="AT47" s="81">
        <v>0.75</v>
      </c>
      <c r="AU47" s="80">
        <v>1</v>
      </c>
      <c r="AV47" s="80">
        <v>1</v>
      </c>
      <c r="AW47" s="69" t="s">
        <v>131</v>
      </c>
      <c r="AX47" s="80">
        <v>0.33333333333333331</v>
      </c>
      <c r="AY47" s="80">
        <v>0.75</v>
      </c>
      <c r="AZ47" s="80">
        <v>0</v>
      </c>
      <c r="BA47" s="79">
        <v>0</v>
      </c>
    </row>
    <row r="48" spans="1:53" x14ac:dyDescent="0.2">
      <c r="A48" s="12">
        <v>2024</v>
      </c>
      <c r="B48" s="11" t="s">
        <v>124</v>
      </c>
      <c r="C48" s="84" t="s">
        <v>55</v>
      </c>
      <c r="D48" s="83">
        <v>0.60243055555555558</v>
      </c>
      <c r="E48" s="71">
        <v>0.70138888888888884</v>
      </c>
      <c r="F48" s="70">
        <v>0.60763888888888884</v>
      </c>
      <c r="G48" s="68">
        <v>0.7222222222222221</v>
      </c>
      <c r="H48" s="67">
        <v>0.37847222222222221</v>
      </c>
      <c r="I48" s="70">
        <v>0.875</v>
      </c>
      <c r="J48" s="68">
        <v>0.52777777777777768</v>
      </c>
      <c r="K48" s="68">
        <v>0.66666666666666663</v>
      </c>
      <c r="L48" s="68">
        <v>0.54861111111111105</v>
      </c>
      <c r="M48" s="68">
        <v>0.33333333333333331</v>
      </c>
      <c r="N48" s="68">
        <v>1</v>
      </c>
      <c r="O48" s="68">
        <v>0.83333333333333326</v>
      </c>
      <c r="P48" s="68">
        <v>0.61111111111111116</v>
      </c>
      <c r="Q48" s="67">
        <v>0.14583333333333331</v>
      </c>
      <c r="R48" s="82">
        <v>1</v>
      </c>
      <c r="S48" s="80">
        <v>1</v>
      </c>
      <c r="T48" s="80">
        <v>0.75</v>
      </c>
      <c r="U48" s="80">
        <v>0.75</v>
      </c>
      <c r="V48" s="80">
        <v>0.33333333333333298</v>
      </c>
      <c r="W48" s="80">
        <v>0.75</v>
      </c>
      <c r="X48" s="79">
        <v>0.5</v>
      </c>
      <c r="Y48" s="81">
        <v>1</v>
      </c>
      <c r="Z48" s="80">
        <v>1</v>
      </c>
      <c r="AA48" s="80">
        <v>0</v>
      </c>
      <c r="AB48" s="80">
        <v>0.25</v>
      </c>
      <c r="AC48" s="80">
        <v>1</v>
      </c>
      <c r="AD48" s="80">
        <v>0.875</v>
      </c>
      <c r="AE48" s="68">
        <v>0.25</v>
      </c>
      <c r="AF48" s="68">
        <v>0.66666666666666663</v>
      </c>
      <c r="AG48" s="79">
        <v>0.25</v>
      </c>
      <c r="AH48" s="81">
        <v>0</v>
      </c>
      <c r="AI48" s="80">
        <v>0</v>
      </c>
      <c r="AJ48" s="80">
        <v>0</v>
      </c>
      <c r="AK48" s="80">
        <v>0</v>
      </c>
      <c r="AL48" s="80">
        <v>1</v>
      </c>
      <c r="AM48" s="80">
        <v>1</v>
      </c>
      <c r="AN48" s="80">
        <v>1</v>
      </c>
      <c r="AO48" s="80">
        <v>1</v>
      </c>
      <c r="AP48" s="80">
        <v>1</v>
      </c>
      <c r="AQ48" s="80">
        <v>1</v>
      </c>
      <c r="AR48" s="80">
        <v>0.5</v>
      </c>
      <c r="AS48" s="79">
        <v>1</v>
      </c>
      <c r="AT48" s="81">
        <v>0.5</v>
      </c>
      <c r="AU48" s="80">
        <v>1</v>
      </c>
      <c r="AV48" s="80">
        <v>0.33333333333333331</v>
      </c>
      <c r="AW48" s="69" t="s">
        <v>131</v>
      </c>
      <c r="AX48" s="80">
        <v>0.33333333333333331</v>
      </c>
      <c r="AY48" s="80">
        <v>0.25</v>
      </c>
      <c r="AZ48" s="80">
        <v>0</v>
      </c>
      <c r="BA48" s="79">
        <v>0</v>
      </c>
    </row>
    <row r="49" spans="1:53" x14ac:dyDescent="0.2">
      <c r="A49" s="12">
        <v>2024</v>
      </c>
      <c r="B49" s="11" t="s">
        <v>121</v>
      </c>
      <c r="C49" s="84" t="s">
        <v>75</v>
      </c>
      <c r="D49" s="83">
        <v>0.59982638888888884</v>
      </c>
      <c r="E49" s="71">
        <v>0.58333333333333326</v>
      </c>
      <c r="F49" s="70">
        <v>0.85416666666666663</v>
      </c>
      <c r="G49" s="68">
        <v>0.38888888888888884</v>
      </c>
      <c r="H49" s="67">
        <v>0.57291666666666663</v>
      </c>
      <c r="I49" s="70">
        <v>0.75</v>
      </c>
      <c r="J49" s="68">
        <v>0.41666666666666663</v>
      </c>
      <c r="K49" s="68">
        <v>1</v>
      </c>
      <c r="L49" s="68">
        <v>0.70833333333333326</v>
      </c>
      <c r="M49" s="68">
        <v>0.33333333333333331</v>
      </c>
      <c r="N49" s="68">
        <v>0.33333333333333331</v>
      </c>
      <c r="O49" s="68">
        <v>0.5</v>
      </c>
      <c r="P49" s="68">
        <v>0.83333333333333326</v>
      </c>
      <c r="Q49" s="67">
        <v>0.3125</v>
      </c>
      <c r="R49" s="82">
        <v>1</v>
      </c>
      <c r="S49" s="80">
        <v>1</v>
      </c>
      <c r="T49" s="80">
        <v>1</v>
      </c>
      <c r="U49" s="80">
        <v>0</v>
      </c>
      <c r="V49" s="80">
        <v>0</v>
      </c>
      <c r="W49" s="80">
        <v>0.25</v>
      </c>
      <c r="X49" s="79">
        <v>1</v>
      </c>
      <c r="Y49" s="81">
        <v>1</v>
      </c>
      <c r="Z49" s="80">
        <v>1</v>
      </c>
      <c r="AA49" s="80">
        <v>1</v>
      </c>
      <c r="AB49" s="80">
        <v>0.75</v>
      </c>
      <c r="AC49" s="80">
        <v>1</v>
      </c>
      <c r="AD49" s="80">
        <v>1</v>
      </c>
      <c r="AE49" s="80">
        <v>0.75</v>
      </c>
      <c r="AF49" s="80">
        <v>0</v>
      </c>
      <c r="AG49" s="79">
        <v>0.75</v>
      </c>
      <c r="AH49" s="81">
        <v>0</v>
      </c>
      <c r="AI49" s="80">
        <v>0</v>
      </c>
      <c r="AJ49" s="80">
        <v>0</v>
      </c>
      <c r="AK49" s="80">
        <v>0</v>
      </c>
      <c r="AL49" s="80">
        <v>1</v>
      </c>
      <c r="AM49" s="80">
        <v>1</v>
      </c>
      <c r="AN49" s="80">
        <v>1</v>
      </c>
      <c r="AO49" s="80">
        <v>0</v>
      </c>
      <c r="AP49" s="80">
        <v>0</v>
      </c>
      <c r="AQ49" s="80">
        <v>1</v>
      </c>
      <c r="AR49" s="80">
        <v>0.5</v>
      </c>
      <c r="AS49" s="79">
        <v>0</v>
      </c>
      <c r="AT49" s="81">
        <v>0.5</v>
      </c>
      <c r="AU49" s="80">
        <v>1</v>
      </c>
      <c r="AV49" s="80">
        <v>1</v>
      </c>
      <c r="AW49" s="69" t="s">
        <v>131</v>
      </c>
      <c r="AX49" s="80">
        <v>1</v>
      </c>
      <c r="AY49" s="80">
        <v>0.25</v>
      </c>
      <c r="AZ49" s="80">
        <v>0</v>
      </c>
      <c r="BA49" s="79">
        <v>0</v>
      </c>
    </row>
    <row r="50" spans="1:53" x14ac:dyDescent="0.2">
      <c r="A50" s="12">
        <v>2024</v>
      </c>
      <c r="B50" s="11" t="s">
        <v>113</v>
      </c>
      <c r="C50" s="84" t="s">
        <v>55</v>
      </c>
      <c r="D50" s="83">
        <v>0.55642361111111105</v>
      </c>
      <c r="E50" s="82">
        <v>0.88541666666666663</v>
      </c>
      <c r="F50" s="81">
        <v>0.36458333333333331</v>
      </c>
      <c r="G50" s="80">
        <v>0.63888888888888884</v>
      </c>
      <c r="H50" s="79">
        <v>0.33680555555555547</v>
      </c>
      <c r="I50" s="81">
        <v>0.9375</v>
      </c>
      <c r="J50" s="80">
        <v>0.83333333333333326</v>
      </c>
      <c r="K50" s="80">
        <v>0.33333333333333331</v>
      </c>
      <c r="L50" s="80">
        <v>0.39583333333333331</v>
      </c>
      <c r="M50" s="80">
        <v>0.33333333333333331</v>
      </c>
      <c r="N50" s="80">
        <v>1</v>
      </c>
      <c r="O50" s="80">
        <v>0.58333333333333337</v>
      </c>
      <c r="P50" s="80">
        <v>0.52777777777777768</v>
      </c>
      <c r="Q50" s="79">
        <v>0.14583333333333331</v>
      </c>
      <c r="R50" s="82">
        <v>1</v>
      </c>
      <c r="S50" s="80">
        <v>1</v>
      </c>
      <c r="T50" s="80">
        <v>1</v>
      </c>
      <c r="U50" s="80">
        <v>0.75</v>
      </c>
      <c r="V50" s="80">
        <v>1</v>
      </c>
      <c r="W50" s="80">
        <v>0.5</v>
      </c>
      <c r="X50" s="79">
        <v>1</v>
      </c>
      <c r="Y50" s="81">
        <v>1</v>
      </c>
      <c r="Z50" s="80">
        <v>0</v>
      </c>
      <c r="AA50" s="80">
        <v>0</v>
      </c>
      <c r="AB50" s="80">
        <v>0.25</v>
      </c>
      <c r="AC50" s="80">
        <v>1</v>
      </c>
      <c r="AD50" s="80">
        <v>0.125</v>
      </c>
      <c r="AE50" s="80">
        <v>0.5</v>
      </c>
      <c r="AF50" s="80">
        <v>0</v>
      </c>
      <c r="AG50" s="79">
        <v>0.5</v>
      </c>
      <c r="AH50" s="81">
        <v>1</v>
      </c>
      <c r="AI50" s="80">
        <v>0</v>
      </c>
      <c r="AJ50" s="80">
        <v>0</v>
      </c>
      <c r="AK50" s="80">
        <v>0</v>
      </c>
      <c r="AL50" s="80">
        <v>0</v>
      </c>
      <c r="AM50" s="80">
        <v>1</v>
      </c>
      <c r="AN50" s="80">
        <v>1</v>
      </c>
      <c r="AO50" s="80">
        <v>1</v>
      </c>
      <c r="AP50" s="80">
        <v>1</v>
      </c>
      <c r="AQ50" s="80">
        <v>1</v>
      </c>
      <c r="AR50" s="80">
        <v>0.5</v>
      </c>
      <c r="AS50" s="79">
        <v>0.25</v>
      </c>
      <c r="AT50" s="81">
        <v>0.25</v>
      </c>
      <c r="AU50" s="80">
        <v>1</v>
      </c>
      <c r="AV50" s="80">
        <v>0.33333333333333331</v>
      </c>
      <c r="AW50" s="69" t="s">
        <v>131</v>
      </c>
      <c r="AX50" s="80">
        <v>0.33333333333333331</v>
      </c>
      <c r="AY50" s="80">
        <v>0.25</v>
      </c>
      <c r="AZ50" s="80">
        <v>0</v>
      </c>
      <c r="BA50" s="79">
        <v>0</v>
      </c>
    </row>
    <row r="51" spans="1:53" x14ac:dyDescent="0.2">
      <c r="A51" s="12">
        <v>2024</v>
      </c>
      <c r="B51" s="11" t="s">
        <v>111</v>
      </c>
      <c r="C51" s="84" t="s">
        <v>55</v>
      </c>
      <c r="D51" s="83">
        <v>0.54906250000000001</v>
      </c>
      <c r="E51" s="71">
        <v>0.80555555555555547</v>
      </c>
      <c r="F51" s="70">
        <v>0.72569444444444442</v>
      </c>
      <c r="G51" s="68">
        <v>0.45666666666666667</v>
      </c>
      <c r="H51" s="67">
        <v>0.20833333333333331</v>
      </c>
      <c r="I51" s="70">
        <v>1</v>
      </c>
      <c r="J51" s="68">
        <v>0.61111111111111094</v>
      </c>
      <c r="K51" s="68">
        <v>1</v>
      </c>
      <c r="L51" s="68">
        <v>0.4513888888888889</v>
      </c>
      <c r="M51" s="68">
        <v>0.53666666666666663</v>
      </c>
      <c r="N51" s="68">
        <v>0.33333333333333331</v>
      </c>
      <c r="O51" s="68">
        <v>0.5</v>
      </c>
      <c r="P51" s="68">
        <v>0.41666666666666663</v>
      </c>
      <c r="Q51" s="67">
        <v>0</v>
      </c>
      <c r="R51" s="82">
        <v>1</v>
      </c>
      <c r="S51" s="80">
        <v>1</v>
      </c>
      <c r="T51" s="80">
        <v>1</v>
      </c>
      <c r="U51" s="80">
        <v>1</v>
      </c>
      <c r="V51" s="80">
        <v>0.33333333333333298</v>
      </c>
      <c r="W51" s="80">
        <v>0.5</v>
      </c>
      <c r="X51" s="79">
        <v>1</v>
      </c>
      <c r="Y51" s="81">
        <v>1</v>
      </c>
      <c r="Z51" s="80">
        <v>1</v>
      </c>
      <c r="AA51" s="80">
        <v>1</v>
      </c>
      <c r="AB51" s="80">
        <v>0.5</v>
      </c>
      <c r="AC51" s="80">
        <v>1</v>
      </c>
      <c r="AD51" s="80">
        <v>0.375</v>
      </c>
      <c r="AE51" s="80">
        <v>0.25</v>
      </c>
      <c r="AF51" s="86">
        <v>0.33333333333333331</v>
      </c>
      <c r="AG51" s="79">
        <v>0.25</v>
      </c>
      <c r="AH51" s="81">
        <v>1</v>
      </c>
      <c r="AI51" s="80">
        <v>0</v>
      </c>
      <c r="AJ51" s="86">
        <v>0.22</v>
      </c>
      <c r="AK51" s="80">
        <v>0</v>
      </c>
      <c r="AL51" s="80">
        <v>1</v>
      </c>
      <c r="AM51" s="80">
        <v>1</v>
      </c>
      <c r="AN51" s="80">
        <v>1</v>
      </c>
      <c r="AO51" s="80">
        <v>0</v>
      </c>
      <c r="AP51" s="80">
        <v>0</v>
      </c>
      <c r="AQ51" s="80">
        <v>1</v>
      </c>
      <c r="AR51" s="80">
        <v>0.5</v>
      </c>
      <c r="AS51" s="79">
        <v>0</v>
      </c>
      <c r="AT51" s="81">
        <v>0.25</v>
      </c>
      <c r="AU51" s="80">
        <v>1</v>
      </c>
      <c r="AV51" s="80">
        <v>0</v>
      </c>
      <c r="AW51" s="69" t="s">
        <v>131</v>
      </c>
      <c r="AX51" s="80">
        <v>0</v>
      </c>
      <c r="AY51" s="80">
        <v>0</v>
      </c>
      <c r="AZ51" s="80">
        <v>0</v>
      </c>
      <c r="BA51" s="79">
        <v>0</v>
      </c>
    </row>
    <row r="52" spans="1:53" x14ac:dyDescent="0.2">
      <c r="A52" s="12">
        <v>2024</v>
      </c>
      <c r="B52" s="11" t="s">
        <v>122</v>
      </c>
      <c r="C52" s="84" t="s">
        <v>75</v>
      </c>
      <c r="D52" s="83">
        <v>0.49652777777777779</v>
      </c>
      <c r="E52" s="71">
        <v>0.52777777777777779</v>
      </c>
      <c r="F52" s="70">
        <v>0.57986111111111105</v>
      </c>
      <c r="G52" s="68">
        <v>0.5</v>
      </c>
      <c r="H52" s="67">
        <v>0.37847222222222221</v>
      </c>
      <c r="I52" s="70">
        <v>0.75</v>
      </c>
      <c r="J52" s="68">
        <v>0.30555555555555564</v>
      </c>
      <c r="K52" s="68">
        <v>0.66666666666666663</v>
      </c>
      <c r="L52" s="68">
        <v>0.49305555555555552</v>
      </c>
      <c r="M52" s="68">
        <v>0.33333333333333331</v>
      </c>
      <c r="N52" s="68">
        <v>0.66666666666666663</v>
      </c>
      <c r="O52" s="68">
        <v>0.5</v>
      </c>
      <c r="P52" s="68">
        <v>0.52777777777777768</v>
      </c>
      <c r="Q52" s="67">
        <v>0.22916666666666674</v>
      </c>
      <c r="R52" s="82">
        <v>1</v>
      </c>
      <c r="S52" s="80">
        <v>1</v>
      </c>
      <c r="T52" s="80">
        <v>0.5</v>
      </c>
      <c r="U52" s="80">
        <v>0.5</v>
      </c>
      <c r="V52" s="80">
        <v>0.66666666666666696</v>
      </c>
      <c r="W52" s="80">
        <v>0.25</v>
      </c>
      <c r="X52" s="79">
        <v>0</v>
      </c>
      <c r="Y52" s="81">
        <v>1</v>
      </c>
      <c r="Z52" s="80">
        <v>0</v>
      </c>
      <c r="AA52" s="80">
        <v>1</v>
      </c>
      <c r="AB52" s="80">
        <v>0.25</v>
      </c>
      <c r="AC52" s="80">
        <v>1</v>
      </c>
      <c r="AD52" s="80">
        <v>0.875</v>
      </c>
      <c r="AE52" s="80">
        <v>0.25</v>
      </c>
      <c r="AF52" s="86">
        <v>0.33333333333333331</v>
      </c>
      <c r="AG52" s="79">
        <v>0.25</v>
      </c>
      <c r="AH52" s="81">
        <v>0</v>
      </c>
      <c r="AI52" s="80">
        <v>0</v>
      </c>
      <c r="AJ52" s="80">
        <v>0</v>
      </c>
      <c r="AK52" s="80">
        <v>0</v>
      </c>
      <c r="AL52" s="80">
        <v>1</v>
      </c>
      <c r="AM52" s="80">
        <v>1</v>
      </c>
      <c r="AN52" s="80">
        <v>1</v>
      </c>
      <c r="AO52" s="80">
        <v>1</v>
      </c>
      <c r="AP52" s="80">
        <v>0</v>
      </c>
      <c r="AQ52" s="80">
        <v>1</v>
      </c>
      <c r="AR52" s="80">
        <v>0.5</v>
      </c>
      <c r="AS52" s="79">
        <v>0</v>
      </c>
      <c r="AT52" s="81">
        <v>0.25</v>
      </c>
      <c r="AU52" s="80">
        <v>1</v>
      </c>
      <c r="AV52" s="80">
        <v>0.33333333333333331</v>
      </c>
      <c r="AW52" s="69" t="s">
        <v>131</v>
      </c>
      <c r="AX52" s="85">
        <v>0.66666666666666696</v>
      </c>
      <c r="AY52" s="80">
        <v>0.25</v>
      </c>
      <c r="AZ52" s="80">
        <v>0</v>
      </c>
      <c r="BA52" s="79">
        <v>0</v>
      </c>
    </row>
    <row r="53" spans="1:53" x14ac:dyDescent="0.2">
      <c r="A53" s="12">
        <v>2024</v>
      </c>
      <c r="B53" s="11" t="s">
        <v>123</v>
      </c>
      <c r="C53" s="84" t="s">
        <v>75</v>
      </c>
      <c r="D53" s="83">
        <v>0.49243055555555548</v>
      </c>
      <c r="E53" s="71">
        <v>0.54166666666666663</v>
      </c>
      <c r="F53" s="70">
        <v>0.53125</v>
      </c>
      <c r="G53" s="68">
        <v>0.38888888888888884</v>
      </c>
      <c r="H53" s="67">
        <v>0.50791666666666668</v>
      </c>
      <c r="I53" s="70">
        <v>0.75</v>
      </c>
      <c r="J53" s="68">
        <v>0.33333333333333331</v>
      </c>
      <c r="K53" s="68">
        <v>0.66666666666666663</v>
      </c>
      <c r="L53" s="68">
        <v>0.39583333333333331</v>
      </c>
      <c r="M53" s="68">
        <v>0.33333333333333331</v>
      </c>
      <c r="N53" s="68">
        <v>0.33333333333333331</v>
      </c>
      <c r="O53" s="68">
        <v>0.5</v>
      </c>
      <c r="P53" s="68">
        <v>0.72333333333333338</v>
      </c>
      <c r="Q53" s="67">
        <v>0.29249999999999998</v>
      </c>
      <c r="R53" s="71">
        <v>1</v>
      </c>
      <c r="S53" s="68">
        <v>1</v>
      </c>
      <c r="T53" s="68">
        <v>0.75</v>
      </c>
      <c r="U53" s="68">
        <v>0.25</v>
      </c>
      <c r="V53" s="68">
        <v>0</v>
      </c>
      <c r="W53" s="68">
        <v>0</v>
      </c>
      <c r="X53" s="67">
        <v>1</v>
      </c>
      <c r="Y53" s="70">
        <v>1</v>
      </c>
      <c r="Z53" s="68">
        <v>0</v>
      </c>
      <c r="AA53" s="68">
        <v>1</v>
      </c>
      <c r="AB53" s="68">
        <v>0.25</v>
      </c>
      <c r="AC53" s="68">
        <v>1</v>
      </c>
      <c r="AD53" s="68">
        <v>0.625</v>
      </c>
      <c r="AE53" s="68">
        <v>0.5</v>
      </c>
      <c r="AF53" s="68">
        <v>0</v>
      </c>
      <c r="AG53" s="67">
        <v>0</v>
      </c>
      <c r="AH53" s="70">
        <v>0</v>
      </c>
      <c r="AI53" s="68">
        <v>0</v>
      </c>
      <c r="AJ53" s="68">
        <v>0</v>
      </c>
      <c r="AK53" s="68">
        <v>0</v>
      </c>
      <c r="AL53" s="68">
        <v>1</v>
      </c>
      <c r="AM53" s="68">
        <v>1</v>
      </c>
      <c r="AN53" s="68">
        <v>1</v>
      </c>
      <c r="AO53" s="68">
        <v>0</v>
      </c>
      <c r="AP53" s="68">
        <v>0</v>
      </c>
      <c r="AQ53" s="68">
        <v>1</v>
      </c>
      <c r="AR53" s="68">
        <v>0.5</v>
      </c>
      <c r="AS53" s="67">
        <v>0</v>
      </c>
      <c r="AT53" s="70">
        <v>0.5</v>
      </c>
      <c r="AU53" s="68">
        <v>1</v>
      </c>
      <c r="AV53" s="68">
        <v>0.67</v>
      </c>
      <c r="AW53" s="69" t="s">
        <v>131</v>
      </c>
      <c r="AX53" s="68">
        <v>0.67</v>
      </c>
      <c r="AY53" s="68">
        <v>0.5</v>
      </c>
      <c r="AZ53" s="68">
        <v>0</v>
      </c>
      <c r="BA53" s="67">
        <v>0</v>
      </c>
    </row>
    <row r="54" spans="1:53" x14ac:dyDescent="0.2">
      <c r="A54" s="12">
        <v>2024</v>
      </c>
      <c r="B54" s="11" t="s">
        <v>114</v>
      </c>
      <c r="C54" s="84" t="s">
        <v>55</v>
      </c>
      <c r="D54" s="83">
        <v>0.44357638888888884</v>
      </c>
      <c r="E54" s="82">
        <v>0.54166666666666663</v>
      </c>
      <c r="F54" s="81">
        <v>0.59027777777777768</v>
      </c>
      <c r="G54" s="80">
        <v>0.38888888888888884</v>
      </c>
      <c r="H54" s="79">
        <v>0.25347222222222221</v>
      </c>
      <c r="I54" s="81">
        <v>0.75</v>
      </c>
      <c r="J54" s="80">
        <v>0.33333333333333331</v>
      </c>
      <c r="K54" s="80">
        <v>0.66666666666666663</v>
      </c>
      <c r="L54" s="80">
        <v>0.51388888888888884</v>
      </c>
      <c r="M54" s="80">
        <v>0.33333333333333331</v>
      </c>
      <c r="N54" s="80">
        <v>0.33333333333333331</v>
      </c>
      <c r="O54" s="80">
        <v>0.5</v>
      </c>
      <c r="P54" s="80">
        <v>0.3611111111111111</v>
      </c>
      <c r="Q54" s="79">
        <v>0.14583333333333331</v>
      </c>
      <c r="R54" s="82">
        <v>1</v>
      </c>
      <c r="S54" s="80">
        <v>1</v>
      </c>
      <c r="T54" s="80">
        <v>1</v>
      </c>
      <c r="U54" s="80">
        <v>0</v>
      </c>
      <c r="V54" s="80">
        <v>0</v>
      </c>
      <c r="W54" s="80">
        <v>0.5</v>
      </c>
      <c r="X54" s="79">
        <v>0.5</v>
      </c>
      <c r="Y54" s="81">
        <v>1</v>
      </c>
      <c r="Z54" s="80">
        <v>0</v>
      </c>
      <c r="AA54" s="80">
        <v>1</v>
      </c>
      <c r="AB54" s="80">
        <v>0.75</v>
      </c>
      <c r="AC54" s="80">
        <v>1</v>
      </c>
      <c r="AD54" s="80">
        <v>0.5</v>
      </c>
      <c r="AE54" s="80">
        <v>0.25</v>
      </c>
      <c r="AF54" s="80">
        <v>0.33333333333333331</v>
      </c>
      <c r="AG54" s="79">
        <v>0.25</v>
      </c>
      <c r="AH54" s="81">
        <v>0</v>
      </c>
      <c r="AI54" s="80">
        <v>0</v>
      </c>
      <c r="AJ54" s="80">
        <v>0</v>
      </c>
      <c r="AK54" s="80">
        <v>0</v>
      </c>
      <c r="AL54" s="80">
        <v>1</v>
      </c>
      <c r="AM54" s="80">
        <v>1</v>
      </c>
      <c r="AN54" s="80">
        <v>1</v>
      </c>
      <c r="AO54" s="80">
        <v>0</v>
      </c>
      <c r="AP54" s="80">
        <v>0</v>
      </c>
      <c r="AQ54" s="80">
        <v>1</v>
      </c>
      <c r="AR54" s="80">
        <v>0.5</v>
      </c>
      <c r="AS54" s="79">
        <v>0</v>
      </c>
      <c r="AT54" s="81">
        <v>0.25</v>
      </c>
      <c r="AU54" s="80">
        <v>0.5</v>
      </c>
      <c r="AV54" s="80">
        <v>0.33333333333333331</v>
      </c>
      <c r="AW54" s="69" t="s">
        <v>131</v>
      </c>
      <c r="AX54" s="80">
        <v>0.33333333333333331</v>
      </c>
      <c r="AY54" s="80">
        <v>0.25</v>
      </c>
      <c r="AZ54" s="80">
        <v>0</v>
      </c>
      <c r="BA54" s="79">
        <v>0</v>
      </c>
    </row>
    <row r="55" spans="1:53" ht="16" thickBot="1" x14ac:dyDescent="0.25">
      <c r="A55" s="12">
        <v>2024</v>
      </c>
      <c r="B55" s="78" t="s">
        <v>107</v>
      </c>
      <c r="C55" s="77" t="s">
        <v>53</v>
      </c>
      <c r="D55" s="76">
        <v>0.43055555555555552</v>
      </c>
      <c r="E55" s="75">
        <v>0.45833333333333331</v>
      </c>
      <c r="F55" s="74">
        <v>0.45486111111111105</v>
      </c>
      <c r="G55" s="73">
        <v>0.33333333333333331</v>
      </c>
      <c r="H55" s="72">
        <v>0.47569444444444442</v>
      </c>
      <c r="I55" s="74">
        <v>0.75</v>
      </c>
      <c r="J55" s="73">
        <v>0.16666666666666666</v>
      </c>
      <c r="K55" s="73">
        <v>0.33333333333333331</v>
      </c>
      <c r="L55" s="73">
        <v>0.57638888888888884</v>
      </c>
      <c r="M55" s="73">
        <v>0.16666666666666666</v>
      </c>
      <c r="N55" s="73">
        <v>0.33333333333333331</v>
      </c>
      <c r="O55" s="73">
        <v>0.5</v>
      </c>
      <c r="P55" s="73">
        <v>0.72222222222222221</v>
      </c>
      <c r="Q55" s="72">
        <v>0.22916666666666666</v>
      </c>
      <c r="R55" s="71">
        <v>1</v>
      </c>
      <c r="S55" s="68">
        <v>1</v>
      </c>
      <c r="T55" s="68">
        <v>1</v>
      </c>
      <c r="U55" s="68">
        <v>0</v>
      </c>
      <c r="V55" s="68">
        <v>0</v>
      </c>
      <c r="W55" s="68">
        <v>0</v>
      </c>
      <c r="X55" s="67">
        <v>0.5</v>
      </c>
      <c r="Y55" s="70">
        <v>1</v>
      </c>
      <c r="Z55" s="68">
        <v>0</v>
      </c>
      <c r="AA55" s="68">
        <v>0</v>
      </c>
      <c r="AB55" s="68">
        <v>0.25</v>
      </c>
      <c r="AC55" s="68">
        <v>1</v>
      </c>
      <c r="AD55" s="68">
        <v>0.875</v>
      </c>
      <c r="AE55" s="68">
        <v>0.75</v>
      </c>
      <c r="AF55" s="68">
        <v>0.33333333333333331</v>
      </c>
      <c r="AG55" s="67">
        <v>0.25</v>
      </c>
      <c r="AH55" s="70">
        <v>0</v>
      </c>
      <c r="AI55" s="68">
        <v>0</v>
      </c>
      <c r="AJ55" s="68">
        <v>0</v>
      </c>
      <c r="AK55" s="68">
        <v>0</v>
      </c>
      <c r="AL55" s="68">
        <v>0</v>
      </c>
      <c r="AM55" s="68">
        <v>1</v>
      </c>
      <c r="AN55" s="68">
        <v>1</v>
      </c>
      <c r="AO55" s="68">
        <v>0</v>
      </c>
      <c r="AP55" s="68">
        <v>0</v>
      </c>
      <c r="AQ55" s="68">
        <v>1</v>
      </c>
      <c r="AR55" s="68">
        <v>0.5</v>
      </c>
      <c r="AS55" s="67">
        <v>0</v>
      </c>
      <c r="AT55" s="70">
        <v>0.5</v>
      </c>
      <c r="AU55" s="68">
        <v>1</v>
      </c>
      <c r="AV55" s="68">
        <v>0.66666666666666663</v>
      </c>
      <c r="AW55" s="69" t="s">
        <v>131</v>
      </c>
      <c r="AX55" s="68">
        <v>0.66666666666666663</v>
      </c>
      <c r="AY55" s="68">
        <v>0.25</v>
      </c>
      <c r="AZ55" s="68">
        <v>0</v>
      </c>
      <c r="BA55" s="67">
        <v>0</v>
      </c>
    </row>
    <row r="56" spans="1:53" x14ac:dyDescent="0.2">
      <c r="D56" s="59"/>
      <c r="E56" s="59">
        <f>AVERAGE(E2:E28)</f>
        <v>0.66182098765432107</v>
      </c>
      <c r="F56" s="59">
        <f t="shared" ref="F56:H56" si="1">AVERAGE(F2:F28)</f>
        <v>0.71031893004115221</v>
      </c>
      <c r="G56" s="59">
        <f t="shared" si="1"/>
        <v>0.57048806584362155</v>
      </c>
      <c r="H56" s="59">
        <f t="shared" si="1"/>
        <v>0.38830632716049385</v>
      </c>
    </row>
    <row r="57" spans="1:53" x14ac:dyDescent="0.2">
      <c r="D57" s="59">
        <f>AVERAGE(D2:D28)</f>
        <v>0.58273357767489697</v>
      </c>
    </row>
    <row r="58" spans="1:53" x14ac:dyDescent="0.2">
      <c r="D58" s="59">
        <v>0.58273357767489709</v>
      </c>
    </row>
    <row r="59" spans="1:53" x14ac:dyDescent="0.2">
      <c r="D59" s="59">
        <v>0.58273357767489709</v>
      </c>
    </row>
    <row r="60" spans="1:53" x14ac:dyDescent="0.2">
      <c r="D60" s="59">
        <v>0.58273357767489709</v>
      </c>
    </row>
    <row r="61" spans="1:53" x14ac:dyDescent="0.2">
      <c r="D61" s="59">
        <v>0.58273357767489709</v>
      </c>
    </row>
    <row r="62" spans="1:53" x14ac:dyDescent="0.2">
      <c r="D62" s="59">
        <v>0.58273357767489709</v>
      </c>
    </row>
    <row r="63" spans="1:53" x14ac:dyDescent="0.2">
      <c r="D63" s="59">
        <v>0.58273357767489709</v>
      </c>
    </row>
    <row r="64" spans="1:53" x14ac:dyDescent="0.2">
      <c r="D64" s="59">
        <v>0.58273357767489709</v>
      </c>
    </row>
    <row r="65" spans="4:4" x14ac:dyDescent="0.2">
      <c r="D65" s="59">
        <v>0.58273357767489709</v>
      </c>
    </row>
    <row r="66" spans="4:4" x14ac:dyDescent="0.2">
      <c r="D66" s="59">
        <v>0.58273357767489709</v>
      </c>
    </row>
    <row r="67" spans="4:4" x14ac:dyDescent="0.2">
      <c r="D67" s="59">
        <v>0.58273357767489709</v>
      </c>
    </row>
    <row r="68" spans="4:4" x14ac:dyDescent="0.2">
      <c r="D68" s="59">
        <v>0.58273357767489709</v>
      </c>
    </row>
    <row r="69" spans="4:4" x14ac:dyDescent="0.2">
      <c r="D69" s="59">
        <v>0.58273357767489709</v>
      </c>
    </row>
    <row r="70" spans="4:4" x14ac:dyDescent="0.2">
      <c r="D70" s="59">
        <v>0.58273357767489709</v>
      </c>
    </row>
    <row r="71" spans="4:4" x14ac:dyDescent="0.2">
      <c r="D71" s="59">
        <v>0.58273357767489709</v>
      </c>
    </row>
    <row r="72" spans="4:4" x14ac:dyDescent="0.2">
      <c r="D72" s="59">
        <v>0.58273357767489709</v>
      </c>
    </row>
    <row r="73" spans="4:4" x14ac:dyDescent="0.2">
      <c r="D73" s="59">
        <v>0.58273357767489709</v>
      </c>
    </row>
    <row r="74" spans="4:4" x14ac:dyDescent="0.2">
      <c r="D74" s="59">
        <v>0.58273357767489709</v>
      </c>
    </row>
    <row r="75" spans="4:4" x14ac:dyDescent="0.2">
      <c r="D75" s="59">
        <v>0.58273357767489709</v>
      </c>
    </row>
    <row r="76" spans="4:4" x14ac:dyDescent="0.2">
      <c r="D76" s="59">
        <v>0.58273357767489709</v>
      </c>
    </row>
    <row r="77" spans="4:4" x14ac:dyDescent="0.2">
      <c r="D77" s="59">
        <v>0.58273357767489709</v>
      </c>
    </row>
    <row r="78" spans="4:4" x14ac:dyDescent="0.2">
      <c r="D78" s="59">
        <v>0.58273357767489709</v>
      </c>
    </row>
    <row r="79" spans="4:4" x14ac:dyDescent="0.2">
      <c r="D79" s="59">
        <v>0.58273357767489709</v>
      </c>
    </row>
    <row r="80" spans="4:4" x14ac:dyDescent="0.2">
      <c r="D80" s="59">
        <v>0.58273357767489709</v>
      </c>
    </row>
    <row r="81" spans="4:4" x14ac:dyDescent="0.2">
      <c r="D81" s="59">
        <v>0.58273357767489709</v>
      </c>
    </row>
    <row r="82" spans="4:4" x14ac:dyDescent="0.2">
      <c r="D82" s="59">
        <v>0.58273357767489709</v>
      </c>
    </row>
    <row r="83" spans="4:4" x14ac:dyDescent="0.2">
      <c r="D83" s="59">
        <v>0.58273357767489709</v>
      </c>
    </row>
  </sheetData>
  <autoFilter ref="A1:BA83" xr:uid="{483449F9-7152-491A-BF24-264D8B390047}"/>
  <sortState xmlns:xlrd2="http://schemas.microsoft.com/office/spreadsheetml/2017/richdata2" ref="A2:BA55">
    <sortCondition descending="1" ref="A2:A55"/>
    <sortCondition descending="1" ref="D2:D55"/>
  </sortState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24D74-F58D-43CF-A407-304FD0F42D61}">
  <dimension ref="A1:BA81"/>
  <sheetViews>
    <sheetView zoomScale="80" zoomScaleNormal="80" workbookViewId="0">
      <selection activeCell="B35" sqref="B35"/>
    </sheetView>
  </sheetViews>
  <sheetFormatPr baseColWidth="10" defaultRowHeight="15" x14ac:dyDescent="0.2"/>
  <cols>
    <col min="2" max="2" width="62.6640625" customWidth="1"/>
    <col min="3" max="3" width="30.33203125" hidden="1" customWidth="1"/>
    <col min="4" max="4" width="18.6640625" customWidth="1"/>
    <col min="5" max="7" width="11.33203125" customWidth="1"/>
    <col min="8" max="8" width="11.1640625" customWidth="1"/>
    <col min="9" max="9" width="15.1640625" customWidth="1"/>
    <col min="10" max="12" width="11.33203125" customWidth="1"/>
    <col min="13" max="13" width="25.1640625" customWidth="1"/>
    <col min="14" max="15" width="11.33203125" customWidth="1"/>
    <col min="50" max="50" width="18.6640625" customWidth="1"/>
    <col min="51" max="51" width="16.1640625" customWidth="1"/>
    <col min="52" max="52" width="19.6640625" customWidth="1"/>
  </cols>
  <sheetData>
    <row r="1" spans="1:53" s="9" customFormat="1" ht="95.25" customHeight="1" x14ac:dyDescent="0.2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2" t="s">
        <v>5</v>
      </c>
      <c r="G1" s="2" t="s">
        <v>6</v>
      </c>
      <c r="H1" s="4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1" t="s">
        <v>24</v>
      </c>
      <c r="Z1" s="2" t="s">
        <v>25</v>
      </c>
      <c r="AA1" s="6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4" t="s">
        <v>32</v>
      </c>
      <c r="AH1" s="1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7" t="s">
        <v>44</v>
      </c>
      <c r="AT1" s="5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7" t="s">
        <v>51</v>
      </c>
      <c r="BA1" s="8"/>
    </row>
    <row r="2" spans="1:53" s="13" customFormat="1" x14ac:dyDescent="0.2">
      <c r="A2" s="10">
        <v>15</v>
      </c>
      <c r="B2" s="11" t="s">
        <v>105</v>
      </c>
      <c r="C2" s="12" t="s">
        <v>53</v>
      </c>
      <c r="D2" s="19">
        <f t="shared" ref="D2:D28" si="0">E2*0.25+F2*0.25+G2*0.25+H2*0.25</f>
        <v>0.84911908796296287</v>
      </c>
      <c r="E2" s="44">
        <f t="shared" ref="E2:E28" si="1">I2*0.5+J2*0.5</f>
        <v>0.92708333333333326</v>
      </c>
      <c r="F2" s="44">
        <f t="shared" ref="F2:F28" si="2">K2*0.5+L2*0.5</f>
        <v>0.9375</v>
      </c>
      <c r="G2" s="28">
        <f t="shared" ref="G2:G28" si="3">M2*(1/3)+N2*(1/3)+O2*(1/3)</f>
        <v>0.78189301851851845</v>
      </c>
      <c r="H2" s="47">
        <f t="shared" ref="H2:H28" si="4">P2*0.5+Q2*0.5</f>
        <v>0.75</v>
      </c>
      <c r="I2" s="44">
        <f t="shared" ref="I2:I28" si="5">R2*0.25+S2*0.25+T2*0.25+U2*0.25</f>
        <v>0.9375</v>
      </c>
      <c r="J2" s="28">
        <f t="shared" ref="J2:J28" si="6">V2*(1/3)+W2*(1/3)+X2*(1/3)</f>
        <v>0.91666666666666652</v>
      </c>
      <c r="K2" s="28">
        <f t="shared" ref="K2:K28" si="7">Y2*(1/3)+Z2*(1/3)+AA2*(1/3)</f>
        <v>1</v>
      </c>
      <c r="L2" s="28">
        <f t="shared" ref="L2:L28" si="8">AB2*(1/6)+AC2*(1/6)+AD2*(1/6)+AE2*(1/6)+AF2*(1/6)+AG2*(1/6)</f>
        <v>0.87499999999999989</v>
      </c>
      <c r="M2" s="28">
        <f t="shared" ref="M2:M28" si="9">AH2*(1/6)+AI2*(1/6)+AJ2*(1/6)+AK2*(1/6)+AL2*(1/6)+AM2*(1/6)</f>
        <v>0.51234572222222219</v>
      </c>
      <c r="N2" s="28">
        <f t="shared" ref="N2:N28" si="10">AN2*(1/3)+AO2*(1/3)+AP2*(1/3)</f>
        <v>1</v>
      </c>
      <c r="O2" s="28">
        <f t="shared" ref="O2:O28" si="11">AQ2*(1/3)+AR2*(1/3)+AS2*(1/3)</f>
        <v>0.83333333333333326</v>
      </c>
      <c r="P2" s="28">
        <f t="shared" ref="P2:P28" si="12">AT2*(1/3)+AU2*(1/3)+AV2*(1/3)</f>
        <v>1</v>
      </c>
      <c r="Q2" s="47">
        <f t="shared" ref="Q2:Q28" si="13">AW2*(1/4)+AX2*(1/4)+AY2*(1/4)+AZ2*(1/4)</f>
        <v>0.5</v>
      </c>
      <c r="R2" s="45">
        <v>1</v>
      </c>
      <c r="S2" s="27">
        <v>1</v>
      </c>
      <c r="T2" s="27">
        <v>1</v>
      </c>
      <c r="U2" s="27">
        <v>0.75</v>
      </c>
      <c r="V2" s="27">
        <v>1</v>
      </c>
      <c r="W2" s="27">
        <v>0.75</v>
      </c>
      <c r="X2" s="46">
        <v>1</v>
      </c>
      <c r="Y2" s="45">
        <v>1</v>
      </c>
      <c r="Z2" s="27">
        <v>1</v>
      </c>
      <c r="AA2" s="27">
        <v>1</v>
      </c>
      <c r="AB2" s="27">
        <v>0.75</v>
      </c>
      <c r="AC2" s="27">
        <v>1</v>
      </c>
      <c r="AD2" s="27">
        <v>1</v>
      </c>
      <c r="AE2" s="27">
        <v>0.75</v>
      </c>
      <c r="AF2" s="27">
        <v>1</v>
      </c>
      <c r="AG2" s="46">
        <v>0.75</v>
      </c>
      <c r="AH2" s="45">
        <v>0.55555600000000005</v>
      </c>
      <c r="AI2" s="48">
        <v>0.33333333333333331</v>
      </c>
      <c r="AJ2" s="27">
        <v>0.18518499999999999</v>
      </c>
      <c r="AK2" s="27">
        <v>0</v>
      </c>
      <c r="AL2" s="27">
        <v>1</v>
      </c>
      <c r="AM2" s="27">
        <v>1</v>
      </c>
      <c r="AN2" s="27">
        <v>1</v>
      </c>
      <c r="AO2" s="27">
        <v>1</v>
      </c>
      <c r="AP2" s="27">
        <v>1</v>
      </c>
      <c r="AQ2" s="27">
        <v>1</v>
      </c>
      <c r="AR2" s="27">
        <v>0.5</v>
      </c>
      <c r="AS2" s="46">
        <v>1</v>
      </c>
      <c r="AT2" s="45">
        <v>1</v>
      </c>
      <c r="AU2" s="27">
        <v>1</v>
      </c>
      <c r="AV2" s="27">
        <v>1</v>
      </c>
      <c r="AW2" s="27">
        <v>1</v>
      </c>
      <c r="AX2" s="27">
        <v>1</v>
      </c>
      <c r="AY2" s="27">
        <v>0</v>
      </c>
      <c r="AZ2" s="46">
        <v>0</v>
      </c>
    </row>
    <row r="3" spans="1:53" s="13" customFormat="1" x14ac:dyDescent="0.2">
      <c r="A3" s="10">
        <v>2</v>
      </c>
      <c r="B3" s="11" t="s">
        <v>117</v>
      </c>
      <c r="C3" s="12" t="s">
        <v>55</v>
      </c>
      <c r="D3" s="19">
        <f t="shared" si="0"/>
        <v>0.75722473832528181</v>
      </c>
      <c r="E3" s="44">
        <f t="shared" si="1"/>
        <v>1</v>
      </c>
      <c r="F3" s="44">
        <f t="shared" si="2"/>
        <v>0.89930555555555558</v>
      </c>
      <c r="G3" s="27">
        <f t="shared" si="3"/>
        <v>0.53542673107890493</v>
      </c>
      <c r="H3" s="47">
        <f t="shared" si="4"/>
        <v>0.59416666666666662</v>
      </c>
      <c r="I3" s="44">
        <f t="shared" si="5"/>
        <v>1</v>
      </c>
      <c r="J3" s="28">
        <f t="shared" si="6"/>
        <v>1</v>
      </c>
      <c r="K3" s="28">
        <f t="shared" si="7"/>
        <v>1</v>
      </c>
      <c r="L3" s="28">
        <f t="shared" si="8"/>
        <v>0.79861111111111116</v>
      </c>
      <c r="M3" s="28">
        <f t="shared" si="9"/>
        <v>0.43961352657004826</v>
      </c>
      <c r="N3" s="28">
        <f t="shared" si="10"/>
        <v>0.33333333333333331</v>
      </c>
      <c r="O3" s="28">
        <f t="shared" si="11"/>
        <v>0.83333333333333326</v>
      </c>
      <c r="P3" s="28">
        <f t="shared" si="12"/>
        <v>0.83333333333333326</v>
      </c>
      <c r="Q3" s="47">
        <f t="shared" si="13"/>
        <v>0.35499999999999998</v>
      </c>
      <c r="R3" s="44">
        <v>1</v>
      </c>
      <c r="S3" s="28">
        <v>1</v>
      </c>
      <c r="T3" s="28">
        <v>1</v>
      </c>
      <c r="U3" s="28">
        <v>1</v>
      </c>
      <c r="V3" s="28">
        <v>1</v>
      </c>
      <c r="W3" s="28">
        <v>1</v>
      </c>
      <c r="X3" s="47">
        <v>1</v>
      </c>
      <c r="Y3" s="44">
        <v>1</v>
      </c>
      <c r="Z3" s="28">
        <v>1</v>
      </c>
      <c r="AA3" s="28">
        <v>1</v>
      </c>
      <c r="AB3" s="28">
        <v>0.75</v>
      </c>
      <c r="AC3" s="28">
        <v>1</v>
      </c>
      <c r="AD3" s="28">
        <f>7/8</f>
        <v>0.875</v>
      </c>
      <c r="AE3" s="28">
        <v>0.75</v>
      </c>
      <c r="AF3" s="28">
        <f>2/3</f>
        <v>0.66666666666666663</v>
      </c>
      <c r="AG3" s="47">
        <v>0.75</v>
      </c>
      <c r="AH3" s="44">
        <f>8/23</f>
        <v>0.34782608695652173</v>
      </c>
      <c r="AI3" s="28">
        <f>5/23</f>
        <v>0.21739130434782608</v>
      </c>
      <c r="AJ3" s="28">
        <f>(2/23)/3+(3/23)/3</f>
        <v>7.2463768115942032E-2</v>
      </c>
      <c r="AK3" s="28">
        <v>0</v>
      </c>
      <c r="AL3" s="28">
        <v>1</v>
      </c>
      <c r="AM3" s="28">
        <v>1</v>
      </c>
      <c r="AN3" s="28">
        <v>1</v>
      </c>
      <c r="AO3" s="28">
        <v>0</v>
      </c>
      <c r="AP3" s="28">
        <v>0</v>
      </c>
      <c r="AQ3" s="28">
        <v>1</v>
      </c>
      <c r="AR3" s="28">
        <v>0.5</v>
      </c>
      <c r="AS3" s="47">
        <v>1</v>
      </c>
      <c r="AT3" s="44">
        <v>0.5</v>
      </c>
      <c r="AU3" s="28">
        <v>1</v>
      </c>
      <c r="AV3" s="28">
        <v>1</v>
      </c>
      <c r="AW3" s="28">
        <v>0.67</v>
      </c>
      <c r="AX3" s="28">
        <v>0.75</v>
      </c>
      <c r="AY3" s="28">
        <v>0</v>
      </c>
      <c r="AZ3" s="47">
        <v>0</v>
      </c>
      <c r="BA3" s="14"/>
    </row>
    <row r="4" spans="1:53" s="13" customFormat="1" x14ac:dyDescent="0.2">
      <c r="A4" s="10">
        <v>21</v>
      </c>
      <c r="B4" s="11" t="s">
        <v>110</v>
      </c>
      <c r="C4" s="12" t="s">
        <v>55</v>
      </c>
      <c r="D4" s="19">
        <f t="shared" si="0"/>
        <v>0.7505787037037035</v>
      </c>
      <c r="E4" s="44">
        <f t="shared" si="1"/>
        <v>0.90277777777777779</v>
      </c>
      <c r="F4" s="45">
        <f t="shared" si="2"/>
        <v>0.46527777777777768</v>
      </c>
      <c r="G4" s="27">
        <f t="shared" si="3"/>
        <v>0.92592592592592582</v>
      </c>
      <c r="H4" s="46">
        <f t="shared" si="4"/>
        <v>0.70833333333333326</v>
      </c>
      <c r="I4" s="45">
        <f t="shared" si="5"/>
        <v>1</v>
      </c>
      <c r="J4" s="27">
        <f t="shared" si="6"/>
        <v>0.80555555555555558</v>
      </c>
      <c r="K4" s="27">
        <f t="shared" si="7"/>
        <v>0.33333333333333331</v>
      </c>
      <c r="L4" s="27">
        <f t="shared" si="8"/>
        <v>0.5972222222222221</v>
      </c>
      <c r="M4" s="27">
        <f t="shared" si="9"/>
        <v>0.94444444444444431</v>
      </c>
      <c r="N4" s="27">
        <f t="shared" si="10"/>
        <v>1</v>
      </c>
      <c r="O4" s="27">
        <f t="shared" si="11"/>
        <v>0.83333333333333326</v>
      </c>
      <c r="P4" s="27">
        <f t="shared" si="12"/>
        <v>0.91666666666666652</v>
      </c>
      <c r="Q4" s="46">
        <f t="shared" si="13"/>
        <v>0.5</v>
      </c>
      <c r="R4" s="45">
        <v>1</v>
      </c>
      <c r="S4" s="27">
        <v>1</v>
      </c>
      <c r="T4" s="27">
        <v>1</v>
      </c>
      <c r="U4" s="27">
        <v>1</v>
      </c>
      <c r="V4" s="27">
        <f>2/3</f>
        <v>0.66666666666666663</v>
      </c>
      <c r="W4" s="27">
        <v>0.75</v>
      </c>
      <c r="X4" s="46">
        <v>1</v>
      </c>
      <c r="Y4" s="45">
        <v>1</v>
      </c>
      <c r="Z4" s="27">
        <v>0</v>
      </c>
      <c r="AA4" s="27">
        <v>0</v>
      </c>
      <c r="AB4" s="27">
        <v>0.5</v>
      </c>
      <c r="AC4" s="27">
        <v>1</v>
      </c>
      <c r="AD4" s="27">
        <v>1</v>
      </c>
      <c r="AE4" s="27">
        <v>0.5</v>
      </c>
      <c r="AF4" s="27">
        <f>1/3</f>
        <v>0.33333333333333331</v>
      </c>
      <c r="AG4" s="46">
        <v>0.25</v>
      </c>
      <c r="AH4" s="45">
        <v>1</v>
      </c>
      <c r="AI4" s="27">
        <v>1</v>
      </c>
      <c r="AJ4" s="27">
        <f>2/3</f>
        <v>0.66666666666666663</v>
      </c>
      <c r="AK4" s="27">
        <v>1</v>
      </c>
      <c r="AL4" s="27">
        <v>1</v>
      </c>
      <c r="AM4" s="27">
        <v>1</v>
      </c>
      <c r="AN4" s="27">
        <v>1</v>
      </c>
      <c r="AO4" s="27">
        <v>1</v>
      </c>
      <c r="AP4" s="27">
        <v>1</v>
      </c>
      <c r="AQ4" s="27">
        <v>1</v>
      </c>
      <c r="AR4" s="27">
        <v>1</v>
      </c>
      <c r="AS4" s="46">
        <v>0.5</v>
      </c>
      <c r="AT4" s="45">
        <v>0.75</v>
      </c>
      <c r="AU4" s="27">
        <v>1</v>
      </c>
      <c r="AV4" s="27">
        <v>1</v>
      </c>
      <c r="AW4" s="27">
        <v>1</v>
      </c>
      <c r="AX4" s="27">
        <v>1</v>
      </c>
      <c r="AY4" s="27">
        <v>0</v>
      </c>
      <c r="AZ4" s="46">
        <v>0</v>
      </c>
    </row>
    <row r="5" spans="1:53" s="13" customFormat="1" x14ac:dyDescent="0.2">
      <c r="A5" s="10">
        <v>23</v>
      </c>
      <c r="B5" s="11" t="s">
        <v>112</v>
      </c>
      <c r="C5" s="12" t="s">
        <v>55</v>
      </c>
      <c r="D5" s="19">
        <f t="shared" si="0"/>
        <v>0.7456597222222221</v>
      </c>
      <c r="E5" s="45">
        <f t="shared" si="1"/>
        <v>0.86111111111111105</v>
      </c>
      <c r="F5" s="45">
        <f t="shared" si="2"/>
        <v>0.69444444444444442</v>
      </c>
      <c r="G5" s="27">
        <f t="shared" si="3"/>
        <v>0.75</v>
      </c>
      <c r="H5" s="46">
        <f t="shared" si="4"/>
        <v>0.67708333333333326</v>
      </c>
      <c r="I5" s="45">
        <f t="shared" si="5"/>
        <v>1</v>
      </c>
      <c r="J5" s="27">
        <f t="shared" si="6"/>
        <v>0.7222222222222221</v>
      </c>
      <c r="K5" s="27">
        <f t="shared" si="7"/>
        <v>0.66666666666666663</v>
      </c>
      <c r="L5" s="27">
        <f t="shared" si="8"/>
        <v>0.72222222222222221</v>
      </c>
      <c r="M5" s="27">
        <f t="shared" si="9"/>
        <v>0.5</v>
      </c>
      <c r="N5" s="27">
        <f t="shared" si="10"/>
        <v>1</v>
      </c>
      <c r="O5" s="27">
        <f t="shared" si="11"/>
        <v>0.75</v>
      </c>
      <c r="P5" s="27">
        <f t="shared" si="12"/>
        <v>0.91666666666666652</v>
      </c>
      <c r="Q5" s="27">
        <f t="shared" si="13"/>
        <v>0.4375</v>
      </c>
      <c r="R5" s="27">
        <v>1</v>
      </c>
      <c r="S5" s="27">
        <v>1</v>
      </c>
      <c r="T5" s="27">
        <v>1</v>
      </c>
      <c r="U5" s="27">
        <v>1</v>
      </c>
      <c r="V5" s="27">
        <f>2/3</f>
        <v>0.66666666666666663</v>
      </c>
      <c r="W5" s="27">
        <v>0.5</v>
      </c>
      <c r="X5" s="27">
        <v>1</v>
      </c>
      <c r="Y5" s="27">
        <v>1</v>
      </c>
      <c r="Z5" s="27">
        <v>1</v>
      </c>
      <c r="AA5" s="27">
        <v>0</v>
      </c>
      <c r="AB5" s="27">
        <v>0.75</v>
      </c>
      <c r="AC5" s="27">
        <v>1</v>
      </c>
      <c r="AD5" s="27">
        <v>1</v>
      </c>
      <c r="AE5" s="27">
        <v>0.75</v>
      </c>
      <c r="AF5" s="27">
        <f>1/3</f>
        <v>0.33333333333333331</v>
      </c>
      <c r="AG5" s="27">
        <v>0.5</v>
      </c>
      <c r="AH5" s="27">
        <v>0.4</v>
      </c>
      <c r="AI5" s="27">
        <v>0.2</v>
      </c>
      <c r="AJ5" s="27">
        <v>0.2</v>
      </c>
      <c r="AK5" s="27">
        <v>0.2</v>
      </c>
      <c r="AL5" s="27">
        <v>1</v>
      </c>
      <c r="AM5" s="27">
        <v>1</v>
      </c>
      <c r="AN5" s="27">
        <v>1</v>
      </c>
      <c r="AO5" s="27">
        <v>1</v>
      </c>
      <c r="AP5" s="27">
        <v>1</v>
      </c>
      <c r="AQ5" s="27">
        <v>1</v>
      </c>
      <c r="AR5" s="27">
        <v>1</v>
      </c>
      <c r="AS5" s="27">
        <v>0.25</v>
      </c>
      <c r="AT5" s="27">
        <v>0.75</v>
      </c>
      <c r="AU5" s="27">
        <v>1</v>
      </c>
      <c r="AV5" s="27">
        <v>1</v>
      </c>
      <c r="AW5" s="27">
        <v>1</v>
      </c>
      <c r="AX5" s="27">
        <v>0.75</v>
      </c>
      <c r="AY5" s="27">
        <v>0</v>
      </c>
      <c r="AZ5" s="27">
        <v>0</v>
      </c>
    </row>
    <row r="6" spans="1:53" s="13" customFormat="1" x14ac:dyDescent="0.2">
      <c r="A6" s="10">
        <v>14</v>
      </c>
      <c r="B6" s="11" t="s">
        <v>128</v>
      </c>
      <c r="C6" s="12" t="s">
        <v>55</v>
      </c>
      <c r="D6" s="19">
        <f t="shared" si="0"/>
        <v>0.74135416666666665</v>
      </c>
      <c r="E6" s="44">
        <f t="shared" si="1"/>
        <v>0.875</v>
      </c>
      <c r="F6" s="44">
        <f t="shared" si="2"/>
        <v>0.875</v>
      </c>
      <c r="G6" s="28">
        <f t="shared" si="3"/>
        <v>0.49666666666666659</v>
      </c>
      <c r="H6" s="47">
        <f t="shared" si="4"/>
        <v>0.71875</v>
      </c>
      <c r="I6" s="44">
        <f t="shared" si="5"/>
        <v>0.75</v>
      </c>
      <c r="J6" s="28">
        <f t="shared" si="6"/>
        <v>1</v>
      </c>
      <c r="K6" s="28">
        <f t="shared" si="7"/>
        <v>1</v>
      </c>
      <c r="L6" s="28">
        <f t="shared" si="8"/>
        <v>0.74999999999999989</v>
      </c>
      <c r="M6" s="28">
        <f t="shared" si="9"/>
        <v>0.90666666666666651</v>
      </c>
      <c r="N6" s="28">
        <f t="shared" si="10"/>
        <v>0</v>
      </c>
      <c r="O6" s="28">
        <f t="shared" si="11"/>
        <v>0.58333333333333337</v>
      </c>
      <c r="P6" s="28">
        <f t="shared" si="12"/>
        <v>1</v>
      </c>
      <c r="Q6" s="28">
        <f t="shared" si="13"/>
        <v>0.4375</v>
      </c>
      <c r="R6" s="27">
        <v>1</v>
      </c>
      <c r="S6" s="27">
        <v>1</v>
      </c>
      <c r="T6" s="27">
        <v>1</v>
      </c>
      <c r="U6" s="27">
        <v>0</v>
      </c>
      <c r="V6" s="27">
        <v>1</v>
      </c>
      <c r="W6" s="27">
        <v>1</v>
      </c>
      <c r="X6" s="27">
        <v>1</v>
      </c>
      <c r="Y6" s="27">
        <v>1</v>
      </c>
      <c r="Z6" s="27">
        <v>1</v>
      </c>
      <c r="AA6" s="27">
        <v>1</v>
      </c>
      <c r="AB6" s="27">
        <v>0.5</v>
      </c>
      <c r="AC6" s="27">
        <v>1</v>
      </c>
      <c r="AD6" s="27">
        <v>1</v>
      </c>
      <c r="AE6" s="27">
        <v>0.75</v>
      </c>
      <c r="AF6" s="27">
        <v>1</v>
      </c>
      <c r="AG6" s="27">
        <v>0.25</v>
      </c>
      <c r="AH6" s="27">
        <v>1</v>
      </c>
      <c r="AI6" s="27">
        <v>0.8</v>
      </c>
      <c r="AJ6" s="27">
        <v>0.84</v>
      </c>
      <c r="AK6" s="27">
        <v>0.8</v>
      </c>
      <c r="AL6" s="27">
        <v>1</v>
      </c>
      <c r="AM6" s="27">
        <v>1</v>
      </c>
      <c r="AN6" s="27">
        <v>0</v>
      </c>
      <c r="AO6" s="27">
        <v>0</v>
      </c>
      <c r="AP6" s="27">
        <v>0</v>
      </c>
      <c r="AQ6" s="27">
        <v>1</v>
      </c>
      <c r="AR6" s="27">
        <v>0.5</v>
      </c>
      <c r="AS6" s="27">
        <v>0.25</v>
      </c>
      <c r="AT6" s="27">
        <v>1</v>
      </c>
      <c r="AU6" s="27">
        <v>1</v>
      </c>
      <c r="AV6" s="27">
        <v>1</v>
      </c>
      <c r="AW6" s="27">
        <v>1</v>
      </c>
      <c r="AX6" s="27">
        <v>0.75</v>
      </c>
      <c r="AY6" s="27">
        <v>0</v>
      </c>
      <c r="AZ6" s="27">
        <v>0</v>
      </c>
    </row>
    <row r="7" spans="1:53" s="13" customFormat="1" x14ac:dyDescent="0.2">
      <c r="A7" s="10">
        <v>20</v>
      </c>
      <c r="B7" s="11" t="s">
        <v>109</v>
      </c>
      <c r="C7" s="12" t="s">
        <v>55</v>
      </c>
      <c r="D7" s="19">
        <f t="shared" si="0"/>
        <v>0.73177083333333326</v>
      </c>
      <c r="E7" s="44">
        <f t="shared" si="1"/>
        <v>0.875</v>
      </c>
      <c r="F7" s="45">
        <f t="shared" si="2"/>
        <v>0.59027777777777768</v>
      </c>
      <c r="G7" s="27">
        <f t="shared" si="3"/>
        <v>0.88888888888888873</v>
      </c>
      <c r="H7" s="46">
        <f t="shared" si="4"/>
        <v>0.57291666666666663</v>
      </c>
      <c r="I7" s="45">
        <f t="shared" si="5"/>
        <v>1</v>
      </c>
      <c r="J7" s="27">
        <f t="shared" si="6"/>
        <v>0.74999999999999989</v>
      </c>
      <c r="K7" s="27">
        <f t="shared" si="7"/>
        <v>0.66666666666666663</v>
      </c>
      <c r="L7" s="27">
        <f t="shared" si="8"/>
        <v>0.51388888888888884</v>
      </c>
      <c r="M7" s="27">
        <f t="shared" si="9"/>
        <v>0.99999999999999989</v>
      </c>
      <c r="N7" s="27">
        <f t="shared" si="10"/>
        <v>1</v>
      </c>
      <c r="O7" s="27">
        <f t="shared" si="11"/>
        <v>0.66666666666666663</v>
      </c>
      <c r="P7" s="27">
        <f t="shared" si="12"/>
        <v>0.91666666666666652</v>
      </c>
      <c r="Q7" s="27">
        <f t="shared" si="13"/>
        <v>0.22916666666666666</v>
      </c>
      <c r="R7" s="27">
        <v>1</v>
      </c>
      <c r="S7" s="27">
        <v>1</v>
      </c>
      <c r="T7" s="27">
        <v>1</v>
      </c>
      <c r="U7" s="27">
        <v>1</v>
      </c>
      <c r="V7" s="27">
        <v>1</v>
      </c>
      <c r="W7" s="27">
        <v>0.75</v>
      </c>
      <c r="X7" s="27">
        <v>0.5</v>
      </c>
      <c r="Y7" s="27">
        <v>1</v>
      </c>
      <c r="Z7" s="27">
        <v>0</v>
      </c>
      <c r="AA7" s="27">
        <v>1</v>
      </c>
      <c r="AB7" s="27">
        <v>0.25</v>
      </c>
      <c r="AC7" s="27">
        <v>1</v>
      </c>
      <c r="AD7" s="27">
        <v>1</v>
      </c>
      <c r="AE7" s="27">
        <v>0.25</v>
      </c>
      <c r="AF7" s="27">
        <f>1/3</f>
        <v>0.33333333333333331</v>
      </c>
      <c r="AG7" s="27">
        <v>0.25</v>
      </c>
      <c r="AH7" s="27">
        <v>1</v>
      </c>
      <c r="AI7" s="27">
        <v>1</v>
      </c>
      <c r="AJ7" s="27">
        <v>1</v>
      </c>
      <c r="AK7" s="27">
        <v>1</v>
      </c>
      <c r="AL7" s="27">
        <v>1</v>
      </c>
      <c r="AM7" s="27">
        <v>1</v>
      </c>
      <c r="AN7" s="27">
        <v>1</v>
      </c>
      <c r="AO7" s="27">
        <v>1</v>
      </c>
      <c r="AP7" s="27">
        <v>1</v>
      </c>
      <c r="AQ7" s="27">
        <v>1</v>
      </c>
      <c r="AR7" s="27">
        <v>1</v>
      </c>
      <c r="AS7" s="27">
        <v>0</v>
      </c>
      <c r="AT7" s="27">
        <v>0.75</v>
      </c>
      <c r="AU7" s="27">
        <v>1</v>
      </c>
      <c r="AV7" s="27">
        <v>1</v>
      </c>
      <c r="AW7" s="27">
        <f>2/3</f>
        <v>0.66666666666666663</v>
      </c>
      <c r="AX7" s="27">
        <v>0.25</v>
      </c>
      <c r="AY7" s="27">
        <v>0</v>
      </c>
      <c r="AZ7" s="27">
        <v>0</v>
      </c>
    </row>
    <row r="8" spans="1:53" s="13" customFormat="1" x14ac:dyDescent="0.2">
      <c r="A8" s="10">
        <v>19</v>
      </c>
      <c r="B8" s="11" t="s">
        <v>103</v>
      </c>
      <c r="C8" s="12" t="s">
        <v>53</v>
      </c>
      <c r="D8" s="19">
        <f t="shared" si="0"/>
        <v>0.70515046296296302</v>
      </c>
      <c r="E8" s="44">
        <f t="shared" si="1"/>
        <v>0.75694444444444442</v>
      </c>
      <c r="F8" s="44">
        <f t="shared" si="2"/>
        <v>0.90277777777777779</v>
      </c>
      <c r="G8" s="28">
        <f t="shared" si="3"/>
        <v>0.68518518518518512</v>
      </c>
      <c r="H8" s="47">
        <f t="shared" si="4"/>
        <v>0.47569444444444442</v>
      </c>
      <c r="I8" s="44">
        <f t="shared" si="5"/>
        <v>0.875</v>
      </c>
      <c r="J8" s="28">
        <f t="shared" si="6"/>
        <v>0.63888888888888895</v>
      </c>
      <c r="K8" s="28">
        <f t="shared" si="7"/>
        <v>1</v>
      </c>
      <c r="L8" s="28">
        <f t="shared" si="8"/>
        <v>0.80555555555555558</v>
      </c>
      <c r="M8" s="28">
        <f t="shared" si="9"/>
        <v>0.55555555555555547</v>
      </c>
      <c r="N8" s="28">
        <f t="shared" si="10"/>
        <v>1</v>
      </c>
      <c r="O8" s="28">
        <f t="shared" si="11"/>
        <v>0.5</v>
      </c>
      <c r="P8" s="28">
        <f t="shared" si="12"/>
        <v>0.63888888888888884</v>
      </c>
      <c r="Q8" s="28">
        <f t="shared" si="13"/>
        <v>0.3125</v>
      </c>
      <c r="R8" s="27">
        <v>1</v>
      </c>
      <c r="S8" s="27">
        <v>1</v>
      </c>
      <c r="T8" s="27">
        <v>0.75</v>
      </c>
      <c r="U8" s="27">
        <v>0.75</v>
      </c>
      <c r="V8" s="27">
        <v>0.66666666666666696</v>
      </c>
      <c r="W8" s="27">
        <v>0.25</v>
      </c>
      <c r="X8" s="27">
        <v>1</v>
      </c>
      <c r="Y8" s="27">
        <v>1</v>
      </c>
      <c r="Z8" s="27">
        <v>1</v>
      </c>
      <c r="AA8" s="27">
        <v>1</v>
      </c>
      <c r="AB8" s="27">
        <v>1</v>
      </c>
      <c r="AC8" s="27">
        <v>1</v>
      </c>
      <c r="AD8" s="27">
        <v>1</v>
      </c>
      <c r="AE8" s="27">
        <v>0.75</v>
      </c>
      <c r="AF8" s="28">
        <f>1/3</f>
        <v>0.33333333333333331</v>
      </c>
      <c r="AG8" s="27">
        <v>0.75</v>
      </c>
      <c r="AH8" s="27">
        <v>0</v>
      </c>
      <c r="AI8" s="27">
        <v>0</v>
      </c>
      <c r="AJ8" s="28">
        <f>1/3</f>
        <v>0.33333333333333331</v>
      </c>
      <c r="AK8" s="27">
        <v>1</v>
      </c>
      <c r="AL8" s="27">
        <v>1</v>
      </c>
      <c r="AM8" s="27">
        <v>1</v>
      </c>
      <c r="AN8" s="27">
        <v>1</v>
      </c>
      <c r="AO8" s="27">
        <v>1</v>
      </c>
      <c r="AP8" s="27">
        <v>1</v>
      </c>
      <c r="AQ8" s="27">
        <v>1</v>
      </c>
      <c r="AR8" s="27">
        <v>0.5</v>
      </c>
      <c r="AS8" s="27">
        <v>0</v>
      </c>
      <c r="AT8" s="27">
        <v>0.25</v>
      </c>
      <c r="AU8" s="27">
        <v>1</v>
      </c>
      <c r="AV8" s="28">
        <f>2/3</f>
        <v>0.66666666666666663</v>
      </c>
      <c r="AW8" s="27">
        <v>1</v>
      </c>
      <c r="AX8" s="27">
        <v>0.25</v>
      </c>
      <c r="AY8" s="27">
        <v>0</v>
      </c>
      <c r="AZ8" s="27">
        <v>0</v>
      </c>
    </row>
    <row r="9" spans="1:53" s="13" customFormat="1" x14ac:dyDescent="0.2">
      <c r="A9" s="10">
        <v>22</v>
      </c>
      <c r="B9" s="11" t="s">
        <v>115</v>
      </c>
      <c r="C9" s="12" t="s">
        <v>55</v>
      </c>
      <c r="D9" s="19">
        <f t="shared" si="0"/>
        <v>0.69270833333333326</v>
      </c>
      <c r="E9" s="44">
        <f t="shared" si="1"/>
        <v>0.71875</v>
      </c>
      <c r="F9" s="45">
        <f t="shared" si="2"/>
        <v>0.77777777777777768</v>
      </c>
      <c r="G9" s="27">
        <f t="shared" si="3"/>
        <v>0.63888888888888884</v>
      </c>
      <c r="H9" s="46">
        <f t="shared" si="4"/>
        <v>0.63541666666666652</v>
      </c>
      <c r="I9" s="45">
        <f t="shared" si="5"/>
        <v>0.6875</v>
      </c>
      <c r="J9" s="27">
        <f t="shared" si="6"/>
        <v>0.74999999999999989</v>
      </c>
      <c r="K9" s="27">
        <f t="shared" si="7"/>
        <v>1</v>
      </c>
      <c r="L9" s="27">
        <f t="shared" si="8"/>
        <v>0.55555555555555547</v>
      </c>
      <c r="M9" s="27">
        <f t="shared" si="9"/>
        <v>0.33333333333333331</v>
      </c>
      <c r="N9" s="27">
        <f t="shared" si="10"/>
        <v>1</v>
      </c>
      <c r="O9" s="27">
        <f t="shared" si="11"/>
        <v>0.58333333333333337</v>
      </c>
      <c r="P9" s="27">
        <f t="shared" si="12"/>
        <v>0.91666666666666652</v>
      </c>
      <c r="Q9" s="27">
        <f t="shared" si="13"/>
        <v>0.35416666666666663</v>
      </c>
      <c r="R9" s="27">
        <v>1</v>
      </c>
      <c r="S9" s="27">
        <v>0.25</v>
      </c>
      <c r="T9" s="27">
        <v>0.75</v>
      </c>
      <c r="U9" s="27">
        <v>0.75</v>
      </c>
      <c r="V9" s="27">
        <v>1</v>
      </c>
      <c r="W9" s="27">
        <v>0.75</v>
      </c>
      <c r="X9" s="27">
        <v>0.5</v>
      </c>
      <c r="Y9" s="27">
        <v>1</v>
      </c>
      <c r="Z9" s="27">
        <v>1</v>
      </c>
      <c r="AA9" s="27">
        <v>1</v>
      </c>
      <c r="AB9" s="27">
        <v>0.5</v>
      </c>
      <c r="AC9" s="27">
        <v>1</v>
      </c>
      <c r="AD9" s="27">
        <v>0.75</v>
      </c>
      <c r="AE9" s="27">
        <v>0.5</v>
      </c>
      <c r="AF9" s="27">
        <f>1/3</f>
        <v>0.33333333333333331</v>
      </c>
      <c r="AG9" s="27">
        <v>0.25</v>
      </c>
      <c r="AH9" s="27">
        <v>0</v>
      </c>
      <c r="AI9" s="27">
        <v>0</v>
      </c>
      <c r="AJ9" s="27">
        <v>0</v>
      </c>
      <c r="AK9" s="27">
        <v>0</v>
      </c>
      <c r="AL9" s="27">
        <v>1</v>
      </c>
      <c r="AM9" s="27">
        <v>1</v>
      </c>
      <c r="AN9" s="27">
        <v>1</v>
      </c>
      <c r="AO9" s="27">
        <v>1</v>
      </c>
      <c r="AP9" s="27">
        <v>1</v>
      </c>
      <c r="AQ9" s="27">
        <v>1</v>
      </c>
      <c r="AR9" s="27">
        <v>0.5</v>
      </c>
      <c r="AS9" s="27">
        <v>0.25</v>
      </c>
      <c r="AT9" s="27">
        <v>0.75</v>
      </c>
      <c r="AU9" s="27">
        <v>1</v>
      </c>
      <c r="AV9" s="27">
        <v>1</v>
      </c>
      <c r="AW9" s="27">
        <f>2/3</f>
        <v>0.66666666666666663</v>
      </c>
      <c r="AX9" s="27">
        <v>0.75</v>
      </c>
      <c r="AY9" s="27">
        <v>0</v>
      </c>
      <c r="AZ9" s="27">
        <v>0</v>
      </c>
    </row>
    <row r="10" spans="1:53" s="13" customFormat="1" x14ac:dyDescent="0.2">
      <c r="A10" s="10">
        <v>25</v>
      </c>
      <c r="B10" s="11" t="s">
        <v>119</v>
      </c>
      <c r="C10" s="12" t="s">
        <v>55</v>
      </c>
      <c r="D10" s="19">
        <f t="shared" si="0"/>
        <v>0.68229166666666652</v>
      </c>
      <c r="E10" s="45">
        <f t="shared" si="1"/>
        <v>0.84375</v>
      </c>
      <c r="F10" s="45">
        <f t="shared" si="2"/>
        <v>0.74652777777777779</v>
      </c>
      <c r="G10" s="27">
        <f t="shared" si="3"/>
        <v>0.55555555555555558</v>
      </c>
      <c r="H10" s="46">
        <f t="shared" si="4"/>
        <v>0.58333333333333326</v>
      </c>
      <c r="I10" s="45">
        <f t="shared" si="5"/>
        <v>0.9375</v>
      </c>
      <c r="J10" s="27">
        <f t="shared" si="6"/>
        <v>0.74999999999999989</v>
      </c>
      <c r="K10" s="27">
        <f t="shared" si="7"/>
        <v>1</v>
      </c>
      <c r="L10" s="27">
        <f t="shared" si="8"/>
        <v>0.49305555555555552</v>
      </c>
      <c r="M10" s="27">
        <f t="shared" si="9"/>
        <v>0.33333333333333331</v>
      </c>
      <c r="N10" s="27">
        <f t="shared" si="10"/>
        <v>0.66666666666666663</v>
      </c>
      <c r="O10" s="27">
        <f t="shared" si="11"/>
        <v>0.66666666666666663</v>
      </c>
      <c r="P10" s="27">
        <f t="shared" si="12"/>
        <v>0.83333333333333326</v>
      </c>
      <c r="Q10" s="27">
        <f t="shared" si="13"/>
        <v>0.33333333333333331</v>
      </c>
      <c r="R10" s="27">
        <v>1</v>
      </c>
      <c r="S10" s="27">
        <v>1</v>
      </c>
      <c r="T10" s="27">
        <v>1</v>
      </c>
      <c r="U10" s="27">
        <v>0.75</v>
      </c>
      <c r="V10" s="27">
        <v>1</v>
      </c>
      <c r="W10" s="27">
        <v>0.75</v>
      </c>
      <c r="X10" s="27">
        <v>0.5</v>
      </c>
      <c r="Y10" s="27">
        <v>1</v>
      </c>
      <c r="Z10" s="27">
        <v>1</v>
      </c>
      <c r="AA10" s="27">
        <v>1</v>
      </c>
      <c r="AB10" s="27">
        <v>0.25</v>
      </c>
      <c r="AC10" s="27">
        <v>1</v>
      </c>
      <c r="AD10" s="27">
        <f>7/8</f>
        <v>0.875</v>
      </c>
      <c r="AE10" s="27">
        <v>0.25</v>
      </c>
      <c r="AF10" s="27">
        <f>1/3</f>
        <v>0.33333333333333331</v>
      </c>
      <c r="AG10" s="27">
        <v>0.25</v>
      </c>
      <c r="AH10" s="27">
        <v>0</v>
      </c>
      <c r="AI10" s="27">
        <v>0</v>
      </c>
      <c r="AJ10" s="27">
        <v>0</v>
      </c>
      <c r="AK10" s="27">
        <v>0</v>
      </c>
      <c r="AL10" s="27">
        <v>1</v>
      </c>
      <c r="AM10" s="27">
        <v>1</v>
      </c>
      <c r="AN10" s="27">
        <v>1</v>
      </c>
      <c r="AO10" s="27">
        <v>1</v>
      </c>
      <c r="AP10" s="27">
        <v>0</v>
      </c>
      <c r="AQ10" s="27">
        <v>1</v>
      </c>
      <c r="AR10" s="27">
        <v>0.5</v>
      </c>
      <c r="AS10" s="27">
        <v>0.5</v>
      </c>
      <c r="AT10" s="27">
        <v>0.5</v>
      </c>
      <c r="AU10" s="27">
        <v>1</v>
      </c>
      <c r="AV10" s="27">
        <v>1</v>
      </c>
      <c r="AW10" s="27">
        <f>1/3</f>
        <v>0.33333333333333331</v>
      </c>
      <c r="AX10" s="27">
        <v>1</v>
      </c>
      <c r="AY10" s="27">
        <v>0</v>
      </c>
      <c r="AZ10" s="27">
        <v>0</v>
      </c>
    </row>
    <row r="11" spans="1:53" s="13" customFormat="1" x14ac:dyDescent="0.2">
      <c r="A11" s="10">
        <v>13</v>
      </c>
      <c r="B11" s="11" t="s">
        <v>125</v>
      </c>
      <c r="C11" s="12" t="s">
        <v>53</v>
      </c>
      <c r="D11" s="19">
        <f t="shared" si="0"/>
        <v>0.67575231944444447</v>
      </c>
      <c r="E11" s="44">
        <f t="shared" si="1"/>
        <v>0.65277777777777779</v>
      </c>
      <c r="F11" s="44">
        <f t="shared" si="2"/>
        <v>0.84722222222222221</v>
      </c>
      <c r="G11" s="28">
        <f t="shared" si="3"/>
        <v>0.60925927777777777</v>
      </c>
      <c r="H11" s="47">
        <f t="shared" si="4"/>
        <v>0.59375</v>
      </c>
      <c r="I11" s="44">
        <f t="shared" si="5"/>
        <v>0.75</v>
      </c>
      <c r="J11" s="28">
        <f t="shared" si="6"/>
        <v>0.55555555555555558</v>
      </c>
      <c r="K11" s="28">
        <f t="shared" si="7"/>
        <v>1</v>
      </c>
      <c r="L11" s="28">
        <f t="shared" si="8"/>
        <v>0.69444444444444442</v>
      </c>
      <c r="M11" s="28">
        <f t="shared" si="9"/>
        <v>0.41111116666666669</v>
      </c>
      <c r="N11" s="28">
        <f t="shared" si="10"/>
        <v>0.66666666666666663</v>
      </c>
      <c r="O11" s="28">
        <f t="shared" si="11"/>
        <v>0.75</v>
      </c>
      <c r="P11" s="28">
        <f t="shared" si="12"/>
        <v>0.83333333333333326</v>
      </c>
      <c r="Q11" s="28">
        <f t="shared" si="13"/>
        <v>0.35416666666666674</v>
      </c>
      <c r="R11" s="27">
        <v>1</v>
      </c>
      <c r="S11" s="27">
        <v>1</v>
      </c>
      <c r="T11" s="27">
        <v>0.5</v>
      </c>
      <c r="U11" s="27">
        <v>0.5</v>
      </c>
      <c r="V11" s="27">
        <v>0.66666666666666696</v>
      </c>
      <c r="W11" s="27">
        <v>0.5</v>
      </c>
      <c r="X11" s="27">
        <v>0.5</v>
      </c>
      <c r="Y11" s="27">
        <v>1</v>
      </c>
      <c r="Z11" s="27">
        <v>1</v>
      </c>
      <c r="AA11" s="27">
        <v>1</v>
      </c>
      <c r="AB11" s="27">
        <v>0.5</v>
      </c>
      <c r="AC11" s="27">
        <v>1</v>
      </c>
      <c r="AD11" s="27">
        <v>1</v>
      </c>
      <c r="AE11" s="27">
        <v>0.5</v>
      </c>
      <c r="AF11" s="28">
        <f>2/3</f>
        <v>0.66666666666666663</v>
      </c>
      <c r="AG11" s="27">
        <v>0.5</v>
      </c>
      <c r="AH11" s="27">
        <v>0.4</v>
      </c>
      <c r="AI11" s="28">
        <v>6.6667000000000004E-2</v>
      </c>
      <c r="AJ11" s="27">
        <v>0</v>
      </c>
      <c r="AK11" s="27">
        <v>0</v>
      </c>
      <c r="AL11" s="27">
        <v>1</v>
      </c>
      <c r="AM11" s="27">
        <v>1</v>
      </c>
      <c r="AN11" s="27">
        <v>1</v>
      </c>
      <c r="AO11" s="27">
        <v>1</v>
      </c>
      <c r="AP11" s="27">
        <v>0</v>
      </c>
      <c r="AQ11" s="27">
        <v>1</v>
      </c>
      <c r="AR11" s="27">
        <v>1</v>
      </c>
      <c r="AS11" s="27">
        <v>0.25</v>
      </c>
      <c r="AT11" s="27">
        <v>0.5</v>
      </c>
      <c r="AU11" s="27">
        <v>1</v>
      </c>
      <c r="AV11" s="27">
        <v>1</v>
      </c>
      <c r="AW11" s="50">
        <v>0.66666666666666696</v>
      </c>
      <c r="AX11" s="27">
        <v>0.75</v>
      </c>
      <c r="AY11" s="27">
        <v>0</v>
      </c>
      <c r="AZ11" s="27">
        <v>0</v>
      </c>
    </row>
    <row r="12" spans="1:53" s="13" customFormat="1" x14ac:dyDescent="0.2">
      <c r="A12" s="10">
        <v>27</v>
      </c>
      <c r="B12" s="11" t="s">
        <v>120</v>
      </c>
      <c r="C12" s="12" t="s">
        <v>55</v>
      </c>
      <c r="D12" s="19">
        <f t="shared" si="0"/>
        <v>0.66493055555555558</v>
      </c>
      <c r="E12" s="45">
        <f t="shared" si="1"/>
        <v>0.76736111111111105</v>
      </c>
      <c r="F12" s="45">
        <f t="shared" si="2"/>
        <v>0.75</v>
      </c>
      <c r="G12" s="27">
        <f t="shared" si="3"/>
        <v>0.66666666666666663</v>
      </c>
      <c r="H12" s="46">
        <f t="shared" si="4"/>
        <v>0.47569444444444442</v>
      </c>
      <c r="I12" s="45">
        <f t="shared" si="5"/>
        <v>0.8125</v>
      </c>
      <c r="J12" s="27">
        <f t="shared" si="6"/>
        <v>0.7222222222222221</v>
      </c>
      <c r="K12" s="27">
        <f t="shared" si="7"/>
        <v>0.66666666666666663</v>
      </c>
      <c r="L12" s="27">
        <f t="shared" si="8"/>
        <v>0.83333333333333326</v>
      </c>
      <c r="M12" s="27">
        <f t="shared" si="9"/>
        <v>0.33333333333333331</v>
      </c>
      <c r="N12" s="27">
        <f t="shared" si="10"/>
        <v>1</v>
      </c>
      <c r="O12" s="27">
        <f t="shared" si="11"/>
        <v>0.66666666666666663</v>
      </c>
      <c r="P12" s="27">
        <f t="shared" si="12"/>
        <v>0.80555555555555547</v>
      </c>
      <c r="Q12" s="27">
        <f t="shared" si="13"/>
        <v>0.14583333333333331</v>
      </c>
      <c r="R12" s="27">
        <v>1</v>
      </c>
      <c r="S12" s="27">
        <v>1</v>
      </c>
      <c r="T12" s="27">
        <v>0.75</v>
      </c>
      <c r="U12" s="27">
        <v>0.5</v>
      </c>
      <c r="V12" s="27">
        <f>2/3</f>
        <v>0.66666666666666663</v>
      </c>
      <c r="W12" s="27">
        <v>0.5</v>
      </c>
      <c r="X12" s="27">
        <v>1</v>
      </c>
      <c r="Y12" s="27">
        <v>1</v>
      </c>
      <c r="Z12" s="27">
        <v>0</v>
      </c>
      <c r="AA12" s="27">
        <v>1</v>
      </c>
      <c r="AB12" s="27">
        <v>0.75</v>
      </c>
      <c r="AC12" s="27">
        <v>1</v>
      </c>
      <c r="AD12" s="27">
        <v>1</v>
      </c>
      <c r="AE12" s="27">
        <v>0.5</v>
      </c>
      <c r="AF12" s="27">
        <v>1</v>
      </c>
      <c r="AG12" s="27">
        <v>0.75</v>
      </c>
      <c r="AH12" s="27">
        <v>0</v>
      </c>
      <c r="AI12" s="27">
        <v>0</v>
      </c>
      <c r="AJ12" s="27">
        <v>0</v>
      </c>
      <c r="AK12" s="27">
        <v>0</v>
      </c>
      <c r="AL12" s="27">
        <v>1</v>
      </c>
      <c r="AM12" s="27">
        <v>1</v>
      </c>
      <c r="AN12" s="27">
        <v>1</v>
      </c>
      <c r="AO12" s="27">
        <v>1</v>
      </c>
      <c r="AP12" s="27">
        <v>1</v>
      </c>
      <c r="AQ12" s="27">
        <v>1</v>
      </c>
      <c r="AR12" s="27">
        <v>1</v>
      </c>
      <c r="AS12" s="27">
        <v>0</v>
      </c>
      <c r="AT12" s="27">
        <v>0.75</v>
      </c>
      <c r="AU12" s="27">
        <v>1</v>
      </c>
      <c r="AV12" s="27">
        <f>2/3</f>
        <v>0.66666666666666663</v>
      </c>
      <c r="AW12" s="27">
        <f>1/3</f>
        <v>0.33333333333333331</v>
      </c>
      <c r="AX12" s="27">
        <v>0.25</v>
      </c>
      <c r="AY12" s="27">
        <v>0</v>
      </c>
      <c r="AZ12" s="27">
        <v>0</v>
      </c>
    </row>
    <row r="13" spans="1:53" s="13" customFormat="1" x14ac:dyDescent="0.2">
      <c r="A13" s="10">
        <v>3</v>
      </c>
      <c r="B13" s="11" t="s">
        <v>127</v>
      </c>
      <c r="C13" s="12" t="s">
        <v>53</v>
      </c>
      <c r="D13" s="19">
        <f t="shared" si="0"/>
        <v>0.65812499999999996</v>
      </c>
      <c r="E13" s="44">
        <f t="shared" si="1"/>
        <v>0.64583333333333326</v>
      </c>
      <c r="F13" s="44">
        <f t="shared" si="2"/>
        <v>0.92708333333333326</v>
      </c>
      <c r="G13" s="28">
        <f t="shared" si="3"/>
        <v>0.58333333333333326</v>
      </c>
      <c r="H13" s="47">
        <f t="shared" si="4"/>
        <v>0.47624999999999995</v>
      </c>
      <c r="I13" s="44">
        <f t="shared" si="5"/>
        <v>0.625</v>
      </c>
      <c r="J13" s="28">
        <f t="shared" si="6"/>
        <v>0.66666666666666663</v>
      </c>
      <c r="K13" s="28">
        <f t="shared" si="7"/>
        <v>1</v>
      </c>
      <c r="L13" s="28">
        <f t="shared" si="8"/>
        <v>0.85416666666666663</v>
      </c>
      <c r="M13" s="28">
        <f t="shared" si="9"/>
        <v>0.16666666666666666</v>
      </c>
      <c r="N13" s="28">
        <f t="shared" si="10"/>
        <v>1</v>
      </c>
      <c r="O13" s="28">
        <f t="shared" si="11"/>
        <v>0.58333333333333337</v>
      </c>
      <c r="P13" s="28">
        <f t="shared" si="12"/>
        <v>0.6399999999999999</v>
      </c>
      <c r="Q13" s="28">
        <f t="shared" si="13"/>
        <v>0.3125</v>
      </c>
      <c r="R13" s="28">
        <v>1</v>
      </c>
      <c r="S13" s="28">
        <v>1</v>
      </c>
      <c r="T13" s="28">
        <v>0.5</v>
      </c>
      <c r="U13" s="28">
        <v>0</v>
      </c>
      <c r="V13" s="28">
        <v>1</v>
      </c>
      <c r="W13" s="28">
        <v>0.5</v>
      </c>
      <c r="X13" s="28">
        <v>0.5</v>
      </c>
      <c r="Y13" s="28">
        <v>1</v>
      </c>
      <c r="Z13" s="28">
        <v>1</v>
      </c>
      <c r="AA13" s="28">
        <v>1</v>
      </c>
      <c r="AB13" s="28">
        <v>1</v>
      </c>
      <c r="AC13" s="28">
        <v>1</v>
      </c>
      <c r="AD13" s="28">
        <f>7/8</f>
        <v>0.875</v>
      </c>
      <c r="AE13" s="28">
        <v>0.75</v>
      </c>
      <c r="AF13" s="28">
        <v>1</v>
      </c>
      <c r="AG13" s="28">
        <v>0.5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1</v>
      </c>
      <c r="AN13" s="28">
        <v>1</v>
      </c>
      <c r="AO13" s="28">
        <v>1</v>
      </c>
      <c r="AP13" s="28">
        <v>1</v>
      </c>
      <c r="AQ13" s="28">
        <v>1</v>
      </c>
      <c r="AR13" s="28">
        <v>0.5</v>
      </c>
      <c r="AS13" s="28">
        <v>0.25</v>
      </c>
      <c r="AT13" s="28">
        <v>0.25</v>
      </c>
      <c r="AU13" s="28">
        <v>1</v>
      </c>
      <c r="AV13" s="28">
        <v>0.67</v>
      </c>
      <c r="AW13" s="28">
        <v>1</v>
      </c>
      <c r="AX13" s="28">
        <v>0.25</v>
      </c>
      <c r="AY13" s="28">
        <v>0</v>
      </c>
      <c r="AZ13" s="28">
        <v>0</v>
      </c>
      <c r="BA13" s="14"/>
    </row>
    <row r="14" spans="1:53" s="13" customFormat="1" x14ac:dyDescent="0.2">
      <c r="A14" s="10">
        <v>5</v>
      </c>
      <c r="B14" s="11" t="s">
        <v>118</v>
      </c>
      <c r="C14" s="12" t="s">
        <v>55</v>
      </c>
      <c r="D14" s="19">
        <f t="shared" si="0"/>
        <v>0.65497684722222216</v>
      </c>
      <c r="E14" s="44">
        <f t="shared" si="1"/>
        <v>0.55902777777777779</v>
      </c>
      <c r="F14" s="44">
        <f t="shared" si="2"/>
        <v>0.77083333333333326</v>
      </c>
      <c r="G14" s="28">
        <f t="shared" si="3"/>
        <v>0.69629627777777769</v>
      </c>
      <c r="H14" s="47">
        <f t="shared" si="4"/>
        <v>0.59375</v>
      </c>
      <c r="I14" s="44">
        <f t="shared" si="5"/>
        <v>0.5625</v>
      </c>
      <c r="J14" s="28">
        <f t="shared" si="6"/>
        <v>0.55555555555555558</v>
      </c>
      <c r="K14" s="28">
        <f t="shared" si="7"/>
        <v>1</v>
      </c>
      <c r="L14" s="28">
        <f t="shared" si="8"/>
        <v>0.54166666666666663</v>
      </c>
      <c r="M14" s="28">
        <f t="shared" si="9"/>
        <v>0.42222216666666668</v>
      </c>
      <c r="N14" s="28">
        <f t="shared" si="10"/>
        <v>1</v>
      </c>
      <c r="O14" s="28">
        <f t="shared" si="11"/>
        <v>0.66666666666666663</v>
      </c>
      <c r="P14" s="28">
        <f t="shared" si="12"/>
        <v>0.83333333333333326</v>
      </c>
      <c r="Q14" s="28">
        <f t="shared" si="13"/>
        <v>0.35416666666666663</v>
      </c>
      <c r="R14" s="49">
        <v>1</v>
      </c>
      <c r="S14" s="49">
        <v>1</v>
      </c>
      <c r="T14" s="49">
        <v>0.25</v>
      </c>
      <c r="U14" s="49">
        <v>0</v>
      </c>
      <c r="V14" s="50">
        <v>0.66666666666666696</v>
      </c>
      <c r="W14" s="49">
        <v>0.5</v>
      </c>
      <c r="X14" s="49">
        <v>0.5</v>
      </c>
      <c r="Y14" s="49">
        <v>1</v>
      </c>
      <c r="Z14" s="49">
        <v>1</v>
      </c>
      <c r="AA14" s="49">
        <v>1</v>
      </c>
      <c r="AB14" s="49">
        <v>0.75</v>
      </c>
      <c r="AC14" s="49">
        <v>1</v>
      </c>
      <c r="AD14" s="49">
        <v>1</v>
      </c>
      <c r="AE14" s="49">
        <v>0.5</v>
      </c>
      <c r="AF14" s="49">
        <v>0</v>
      </c>
      <c r="AG14" s="49">
        <v>0</v>
      </c>
      <c r="AH14" s="49">
        <v>0.2</v>
      </c>
      <c r="AI14" s="49">
        <v>0.2</v>
      </c>
      <c r="AJ14" s="49">
        <v>0.13333300000000001</v>
      </c>
      <c r="AK14" s="49">
        <v>0</v>
      </c>
      <c r="AL14" s="49">
        <v>1</v>
      </c>
      <c r="AM14" s="49">
        <v>1</v>
      </c>
      <c r="AN14" s="49">
        <v>1</v>
      </c>
      <c r="AO14" s="49">
        <v>1</v>
      </c>
      <c r="AP14" s="49">
        <v>1</v>
      </c>
      <c r="AQ14" s="49">
        <v>1</v>
      </c>
      <c r="AR14" s="49">
        <v>0.5</v>
      </c>
      <c r="AS14" s="49">
        <v>0.5</v>
      </c>
      <c r="AT14" s="49">
        <v>0.5</v>
      </c>
      <c r="AU14" s="49">
        <v>1</v>
      </c>
      <c r="AV14" s="49">
        <v>1</v>
      </c>
      <c r="AW14" s="50">
        <v>0.66666666666666663</v>
      </c>
      <c r="AX14" s="49">
        <v>0.75</v>
      </c>
      <c r="AY14" s="49">
        <v>0</v>
      </c>
      <c r="AZ14" s="49">
        <v>0</v>
      </c>
    </row>
    <row r="15" spans="1:53" s="13" customFormat="1" x14ac:dyDescent="0.2">
      <c r="A15" s="10">
        <v>11</v>
      </c>
      <c r="B15" s="11" t="s">
        <v>116</v>
      </c>
      <c r="C15" s="12" t="s">
        <v>55</v>
      </c>
      <c r="D15" s="19">
        <f t="shared" si="0"/>
        <v>0.63713888888888881</v>
      </c>
      <c r="E15" s="44">
        <f t="shared" si="1"/>
        <v>0.64924999999999999</v>
      </c>
      <c r="F15" s="44">
        <f t="shared" si="2"/>
        <v>0.80902777777777779</v>
      </c>
      <c r="G15" s="28">
        <f t="shared" si="3"/>
        <v>0.61111111111111105</v>
      </c>
      <c r="H15" s="47">
        <f t="shared" si="4"/>
        <v>0.47916666666666663</v>
      </c>
      <c r="I15" s="44">
        <f t="shared" si="5"/>
        <v>0.6875</v>
      </c>
      <c r="J15" s="28">
        <f t="shared" si="6"/>
        <v>0.61099999999999999</v>
      </c>
      <c r="K15" s="28">
        <f t="shared" si="7"/>
        <v>1</v>
      </c>
      <c r="L15" s="28">
        <f t="shared" si="8"/>
        <v>0.61805555555555558</v>
      </c>
      <c r="M15" s="28">
        <f t="shared" si="9"/>
        <v>0.33333333333333331</v>
      </c>
      <c r="N15" s="28">
        <f t="shared" si="10"/>
        <v>1</v>
      </c>
      <c r="O15" s="28">
        <f t="shared" si="11"/>
        <v>0.5</v>
      </c>
      <c r="P15" s="28">
        <f t="shared" si="12"/>
        <v>0.75</v>
      </c>
      <c r="Q15" s="28">
        <f t="shared" si="13"/>
        <v>0.20833333333333331</v>
      </c>
      <c r="R15" s="27">
        <v>1</v>
      </c>
      <c r="S15" s="27">
        <v>1</v>
      </c>
      <c r="T15" s="27">
        <v>0.75</v>
      </c>
      <c r="U15" s="27">
        <v>0</v>
      </c>
      <c r="V15" s="48">
        <v>0.33300000000000002</v>
      </c>
      <c r="W15" s="27">
        <v>0.5</v>
      </c>
      <c r="X15" s="27">
        <v>1</v>
      </c>
      <c r="Y15" s="27">
        <v>1</v>
      </c>
      <c r="Z15" s="27">
        <v>1</v>
      </c>
      <c r="AA15" s="27">
        <v>1</v>
      </c>
      <c r="AB15" s="27">
        <v>0.5</v>
      </c>
      <c r="AC15" s="27">
        <v>1</v>
      </c>
      <c r="AD15" s="27">
        <v>0.875</v>
      </c>
      <c r="AE15" s="27">
        <v>0.5</v>
      </c>
      <c r="AF15" s="48">
        <v>0.33333333333333331</v>
      </c>
      <c r="AG15" s="27">
        <v>0.5</v>
      </c>
      <c r="AH15" s="27">
        <v>0</v>
      </c>
      <c r="AI15" s="27">
        <v>0</v>
      </c>
      <c r="AJ15" s="27">
        <v>0</v>
      </c>
      <c r="AK15" s="27">
        <v>0</v>
      </c>
      <c r="AL15" s="27">
        <v>1</v>
      </c>
      <c r="AM15" s="27">
        <v>1</v>
      </c>
      <c r="AN15" s="27">
        <v>1</v>
      </c>
      <c r="AO15" s="27">
        <v>1</v>
      </c>
      <c r="AP15" s="27">
        <v>1</v>
      </c>
      <c r="AQ15" s="27">
        <v>1</v>
      </c>
      <c r="AR15" s="27">
        <v>0.5</v>
      </c>
      <c r="AS15" s="27">
        <v>0</v>
      </c>
      <c r="AT15" s="27">
        <v>0.25</v>
      </c>
      <c r="AU15" s="27">
        <v>1</v>
      </c>
      <c r="AV15" s="27">
        <v>1</v>
      </c>
      <c r="AW15" s="27">
        <v>0.33333333333333331</v>
      </c>
      <c r="AX15" s="27">
        <v>0.5</v>
      </c>
      <c r="AY15" s="27">
        <v>0</v>
      </c>
      <c r="AZ15" s="27">
        <v>0</v>
      </c>
    </row>
    <row r="16" spans="1:53" s="13" customFormat="1" x14ac:dyDescent="0.2">
      <c r="A16" s="10">
        <v>10</v>
      </c>
      <c r="B16" s="11" t="s">
        <v>86</v>
      </c>
      <c r="C16" s="12" t="s">
        <v>55</v>
      </c>
      <c r="D16" s="19">
        <f t="shared" si="0"/>
        <v>0.62670833333333342</v>
      </c>
      <c r="E16" s="44">
        <f t="shared" si="1"/>
        <v>0.51736111111111116</v>
      </c>
      <c r="F16" s="44">
        <f t="shared" si="2"/>
        <v>0.86111111111111116</v>
      </c>
      <c r="G16" s="28">
        <f t="shared" si="3"/>
        <v>0.61111111111111105</v>
      </c>
      <c r="H16" s="47">
        <f t="shared" si="4"/>
        <v>0.51724999999999999</v>
      </c>
      <c r="I16" s="44">
        <f t="shared" si="5"/>
        <v>0.5625</v>
      </c>
      <c r="J16" s="28">
        <f t="shared" si="6"/>
        <v>0.47222222222222232</v>
      </c>
      <c r="K16" s="28">
        <f t="shared" si="7"/>
        <v>1</v>
      </c>
      <c r="L16" s="28">
        <f t="shared" si="8"/>
        <v>0.72222222222222221</v>
      </c>
      <c r="M16" s="28">
        <f t="shared" si="9"/>
        <v>0.33333333333333331</v>
      </c>
      <c r="N16" s="28">
        <f t="shared" si="10"/>
        <v>1</v>
      </c>
      <c r="O16" s="28">
        <f t="shared" si="11"/>
        <v>0.5</v>
      </c>
      <c r="P16" s="28">
        <f t="shared" si="12"/>
        <v>0.72199999999999998</v>
      </c>
      <c r="Q16" s="28">
        <f t="shared" si="13"/>
        <v>0.3125</v>
      </c>
      <c r="R16" s="27">
        <v>1</v>
      </c>
      <c r="S16" s="27">
        <v>1</v>
      </c>
      <c r="T16" s="27">
        <v>0.25</v>
      </c>
      <c r="U16" s="27">
        <v>0</v>
      </c>
      <c r="V16" s="27">
        <v>0.66666666666666696</v>
      </c>
      <c r="W16" s="27">
        <v>0.25</v>
      </c>
      <c r="X16" s="27">
        <v>0.5</v>
      </c>
      <c r="Y16" s="27">
        <v>1</v>
      </c>
      <c r="Z16" s="27">
        <v>1</v>
      </c>
      <c r="AA16" s="27">
        <v>1</v>
      </c>
      <c r="AB16" s="27">
        <v>0.75</v>
      </c>
      <c r="AC16" s="27">
        <v>1</v>
      </c>
      <c r="AD16" s="27">
        <v>0.75</v>
      </c>
      <c r="AE16" s="27">
        <v>0.75</v>
      </c>
      <c r="AF16" s="48">
        <v>0.33333333333333331</v>
      </c>
      <c r="AG16" s="27">
        <v>0.75</v>
      </c>
      <c r="AH16" s="27">
        <v>0</v>
      </c>
      <c r="AI16" s="27">
        <v>0</v>
      </c>
      <c r="AJ16" s="27">
        <v>0</v>
      </c>
      <c r="AK16" s="27">
        <v>0</v>
      </c>
      <c r="AL16" s="27">
        <v>1</v>
      </c>
      <c r="AM16" s="27">
        <v>1</v>
      </c>
      <c r="AN16" s="27">
        <v>1</v>
      </c>
      <c r="AO16" s="27">
        <v>1</v>
      </c>
      <c r="AP16" s="27">
        <v>1</v>
      </c>
      <c r="AQ16" s="27">
        <v>1</v>
      </c>
      <c r="AR16" s="27">
        <v>0.5</v>
      </c>
      <c r="AS16" s="27">
        <v>0</v>
      </c>
      <c r="AT16" s="27">
        <v>0.5</v>
      </c>
      <c r="AU16" s="27">
        <v>1</v>
      </c>
      <c r="AV16" s="48">
        <v>0.66600000000000004</v>
      </c>
      <c r="AW16" s="27">
        <v>1</v>
      </c>
      <c r="AX16" s="27">
        <v>0.25</v>
      </c>
      <c r="AY16" s="27">
        <v>0</v>
      </c>
      <c r="AZ16" s="27">
        <v>0</v>
      </c>
    </row>
    <row r="17" spans="1:53" s="13" customFormat="1" x14ac:dyDescent="0.2">
      <c r="A17" s="10">
        <v>16</v>
      </c>
      <c r="B17" s="11" t="s">
        <v>104</v>
      </c>
      <c r="C17" s="12" t="s">
        <v>53</v>
      </c>
      <c r="D17" s="19">
        <f t="shared" si="0"/>
        <v>0.62278935185185191</v>
      </c>
      <c r="E17" s="44">
        <f t="shared" si="1"/>
        <v>0.72916666666666663</v>
      </c>
      <c r="F17" s="44">
        <f t="shared" si="2"/>
        <v>0.69444444444444442</v>
      </c>
      <c r="G17" s="28">
        <f t="shared" si="3"/>
        <v>0.54629629629629628</v>
      </c>
      <c r="H17" s="47">
        <f t="shared" si="4"/>
        <v>0.52124999999999999</v>
      </c>
      <c r="I17" s="44">
        <f t="shared" si="5"/>
        <v>0.875</v>
      </c>
      <c r="J17" s="28">
        <f t="shared" si="6"/>
        <v>0.58333333333333326</v>
      </c>
      <c r="K17" s="28">
        <f t="shared" si="7"/>
        <v>0.66666666666666663</v>
      </c>
      <c r="L17" s="28">
        <f t="shared" si="8"/>
        <v>0.72222222222222221</v>
      </c>
      <c r="M17" s="28">
        <f t="shared" si="9"/>
        <v>0.55555555555555547</v>
      </c>
      <c r="N17" s="28">
        <f t="shared" si="10"/>
        <v>0.33333333333333331</v>
      </c>
      <c r="O17" s="28">
        <f t="shared" si="11"/>
        <v>0.75</v>
      </c>
      <c r="P17" s="28">
        <f t="shared" si="12"/>
        <v>0.75</v>
      </c>
      <c r="Q17" s="28">
        <f t="shared" si="13"/>
        <v>0.29249999999999998</v>
      </c>
      <c r="R17" s="44">
        <v>1</v>
      </c>
      <c r="S17" s="28">
        <v>1</v>
      </c>
      <c r="T17" s="28">
        <v>1</v>
      </c>
      <c r="U17" s="28">
        <v>0.5</v>
      </c>
      <c r="V17" s="28">
        <v>1</v>
      </c>
      <c r="W17" s="28">
        <v>0.25</v>
      </c>
      <c r="X17" s="47">
        <v>0.5</v>
      </c>
      <c r="Y17" s="44">
        <v>1</v>
      </c>
      <c r="Z17" s="28">
        <v>1</v>
      </c>
      <c r="AA17" s="28">
        <v>0</v>
      </c>
      <c r="AB17" s="28">
        <v>0.75</v>
      </c>
      <c r="AC17" s="28">
        <v>1</v>
      </c>
      <c r="AD17" s="28">
        <v>0.75</v>
      </c>
      <c r="AE17" s="28">
        <v>0.75</v>
      </c>
      <c r="AF17" s="28">
        <f>1/3</f>
        <v>0.33333333333333331</v>
      </c>
      <c r="AG17" s="47">
        <v>0.75</v>
      </c>
      <c r="AH17" s="44">
        <v>1</v>
      </c>
      <c r="AI17" s="28">
        <v>0</v>
      </c>
      <c r="AJ17" s="28">
        <f>1/3</f>
        <v>0.33333333333333331</v>
      </c>
      <c r="AK17" s="28">
        <v>0</v>
      </c>
      <c r="AL17" s="28">
        <v>1</v>
      </c>
      <c r="AM17" s="28">
        <v>1</v>
      </c>
      <c r="AN17" s="28">
        <v>1</v>
      </c>
      <c r="AO17" s="28">
        <v>0</v>
      </c>
      <c r="AP17" s="28">
        <v>0</v>
      </c>
      <c r="AQ17" s="28">
        <v>1</v>
      </c>
      <c r="AR17" s="28">
        <v>1</v>
      </c>
      <c r="AS17" s="47">
        <v>0.25</v>
      </c>
      <c r="AT17" s="44">
        <v>0.25</v>
      </c>
      <c r="AU17" s="28">
        <v>1</v>
      </c>
      <c r="AV17" s="28">
        <v>1</v>
      </c>
      <c r="AW17" s="28">
        <v>0.67</v>
      </c>
      <c r="AX17" s="28">
        <v>0.5</v>
      </c>
      <c r="AY17" s="28">
        <v>0</v>
      </c>
      <c r="AZ17" s="47">
        <v>0</v>
      </c>
    </row>
    <row r="18" spans="1:53" s="13" customFormat="1" x14ac:dyDescent="0.2">
      <c r="A18" s="10">
        <v>4</v>
      </c>
      <c r="B18" s="11" t="s">
        <v>106</v>
      </c>
      <c r="C18" s="12" t="s">
        <v>53</v>
      </c>
      <c r="D18" s="19">
        <f t="shared" si="0"/>
        <v>0.62235416666666654</v>
      </c>
      <c r="E18" s="44">
        <f t="shared" si="1"/>
        <v>0.80549999999999999</v>
      </c>
      <c r="F18" s="44">
        <f t="shared" si="2"/>
        <v>0.77777777777777768</v>
      </c>
      <c r="G18" s="28">
        <f t="shared" si="3"/>
        <v>0.38888888888888884</v>
      </c>
      <c r="H18" s="47">
        <f t="shared" si="4"/>
        <v>0.51724999999999999</v>
      </c>
      <c r="I18" s="44">
        <f t="shared" si="5"/>
        <v>1</v>
      </c>
      <c r="J18" s="28">
        <f t="shared" si="6"/>
        <v>0.61099999999999999</v>
      </c>
      <c r="K18" s="28">
        <f t="shared" si="7"/>
        <v>1</v>
      </c>
      <c r="L18" s="28">
        <f t="shared" si="8"/>
        <v>0.55555555555555547</v>
      </c>
      <c r="M18" s="28">
        <f t="shared" si="9"/>
        <v>0.33333333333333331</v>
      </c>
      <c r="N18" s="28">
        <f t="shared" si="10"/>
        <v>0.33333333333333331</v>
      </c>
      <c r="O18" s="28">
        <f t="shared" si="11"/>
        <v>0.5</v>
      </c>
      <c r="P18" s="28">
        <f t="shared" si="12"/>
        <v>0.72199999999999986</v>
      </c>
      <c r="Q18" s="47">
        <f t="shared" si="13"/>
        <v>0.3125</v>
      </c>
      <c r="R18" s="65">
        <v>1</v>
      </c>
      <c r="S18" s="48">
        <v>1</v>
      </c>
      <c r="T18" s="48">
        <v>1</v>
      </c>
      <c r="U18" s="48">
        <v>1</v>
      </c>
      <c r="V18" s="48">
        <v>0.33300000000000002</v>
      </c>
      <c r="W18" s="48">
        <v>0.5</v>
      </c>
      <c r="X18" s="66">
        <v>1</v>
      </c>
      <c r="Y18" s="65">
        <v>1</v>
      </c>
      <c r="Z18" s="48">
        <v>1</v>
      </c>
      <c r="AA18" s="48">
        <v>1</v>
      </c>
      <c r="AB18" s="48">
        <v>0.25</v>
      </c>
      <c r="AC18" s="48">
        <v>1</v>
      </c>
      <c r="AD18" s="48">
        <v>1</v>
      </c>
      <c r="AE18" s="48">
        <v>0.5</v>
      </c>
      <c r="AF18" s="48">
        <v>0.33333333333333331</v>
      </c>
      <c r="AG18" s="66">
        <v>0.25</v>
      </c>
      <c r="AH18" s="65">
        <v>0</v>
      </c>
      <c r="AI18" s="48">
        <v>0</v>
      </c>
      <c r="AJ18" s="48">
        <v>0</v>
      </c>
      <c r="AK18" s="48">
        <v>0</v>
      </c>
      <c r="AL18" s="48">
        <v>1</v>
      </c>
      <c r="AM18" s="48">
        <v>1</v>
      </c>
      <c r="AN18" s="48">
        <v>1</v>
      </c>
      <c r="AO18" s="48">
        <v>0</v>
      </c>
      <c r="AP18" s="48">
        <v>0</v>
      </c>
      <c r="AQ18" s="48">
        <v>1</v>
      </c>
      <c r="AR18" s="48">
        <v>0.5</v>
      </c>
      <c r="AS18" s="66">
        <v>0</v>
      </c>
      <c r="AT18" s="65">
        <v>0.5</v>
      </c>
      <c r="AU18" s="48">
        <v>0.99999999999999989</v>
      </c>
      <c r="AV18" s="48">
        <v>0.66600000000000004</v>
      </c>
      <c r="AW18" s="48">
        <v>1</v>
      </c>
      <c r="AX18" s="48">
        <v>0.25</v>
      </c>
      <c r="AY18" s="48">
        <v>0</v>
      </c>
      <c r="AZ18" s="66">
        <v>0</v>
      </c>
      <c r="BA18" s="14"/>
    </row>
    <row r="19" spans="1:53" s="13" customFormat="1" x14ac:dyDescent="0.2">
      <c r="A19" s="10">
        <v>18</v>
      </c>
      <c r="B19" s="11" t="s">
        <v>108</v>
      </c>
      <c r="C19" s="12" t="s">
        <v>53</v>
      </c>
      <c r="D19" s="19">
        <f t="shared" si="0"/>
        <v>0.61977777777777776</v>
      </c>
      <c r="E19" s="44">
        <f t="shared" si="1"/>
        <v>0.60758333333333336</v>
      </c>
      <c r="F19" s="44">
        <f t="shared" si="2"/>
        <v>0.75694444444444442</v>
      </c>
      <c r="G19" s="28">
        <f t="shared" si="3"/>
        <v>0.58333333333333326</v>
      </c>
      <c r="H19" s="47">
        <f t="shared" si="4"/>
        <v>0.53125</v>
      </c>
      <c r="I19" s="44">
        <f t="shared" si="5"/>
        <v>0.6875</v>
      </c>
      <c r="J19" s="28">
        <f t="shared" si="6"/>
        <v>0.52766666666666662</v>
      </c>
      <c r="K19" s="28">
        <f t="shared" si="7"/>
        <v>1</v>
      </c>
      <c r="L19" s="28">
        <f t="shared" si="8"/>
        <v>0.51388888888888884</v>
      </c>
      <c r="M19" s="28">
        <f t="shared" si="9"/>
        <v>0.16666666666666666</v>
      </c>
      <c r="N19" s="28">
        <f t="shared" si="10"/>
        <v>1</v>
      </c>
      <c r="O19" s="28">
        <f t="shared" si="11"/>
        <v>0.58333333333333337</v>
      </c>
      <c r="P19" s="28">
        <f t="shared" si="12"/>
        <v>0.83333333333333326</v>
      </c>
      <c r="Q19" s="47">
        <f t="shared" si="13"/>
        <v>0.22916666666666666</v>
      </c>
      <c r="R19" s="45">
        <v>1</v>
      </c>
      <c r="S19" s="27">
        <v>1</v>
      </c>
      <c r="T19" s="27">
        <v>0.5</v>
      </c>
      <c r="U19" s="27">
        <v>0.25</v>
      </c>
      <c r="V19" s="48">
        <v>0.33300000000000002</v>
      </c>
      <c r="W19" s="27">
        <v>0.75</v>
      </c>
      <c r="X19" s="46">
        <v>0.5</v>
      </c>
      <c r="Y19" s="45">
        <v>1</v>
      </c>
      <c r="Z19" s="27">
        <v>1</v>
      </c>
      <c r="AA19" s="27">
        <v>1</v>
      </c>
      <c r="AB19" s="27">
        <v>0.25</v>
      </c>
      <c r="AC19" s="27">
        <v>1</v>
      </c>
      <c r="AD19" s="27">
        <v>1</v>
      </c>
      <c r="AE19" s="27">
        <v>0.25</v>
      </c>
      <c r="AF19" s="28">
        <f>1/3</f>
        <v>0.33333333333333331</v>
      </c>
      <c r="AG19" s="46">
        <v>0.25</v>
      </c>
      <c r="AH19" s="45">
        <v>0</v>
      </c>
      <c r="AI19" s="27">
        <v>0</v>
      </c>
      <c r="AJ19" s="27">
        <v>0</v>
      </c>
      <c r="AK19" s="27">
        <v>0</v>
      </c>
      <c r="AL19" s="27">
        <v>1</v>
      </c>
      <c r="AM19" s="27">
        <v>0</v>
      </c>
      <c r="AN19" s="27">
        <v>1</v>
      </c>
      <c r="AO19" s="27">
        <v>1</v>
      </c>
      <c r="AP19" s="27">
        <v>1</v>
      </c>
      <c r="AQ19" s="27">
        <v>1</v>
      </c>
      <c r="AR19" s="27">
        <v>0.5</v>
      </c>
      <c r="AS19" s="46">
        <v>0.25</v>
      </c>
      <c r="AT19" s="45">
        <v>0.5</v>
      </c>
      <c r="AU19" s="27">
        <v>1</v>
      </c>
      <c r="AV19" s="27">
        <v>1</v>
      </c>
      <c r="AW19" s="28">
        <f>2/3</f>
        <v>0.66666666666666663</v>
      </c>
      <c r="AX19" s="27">
        <v>0.25</v>
      </c>
      <c r="AY19" s="27">
        <v>0</v>
      </c>
      <c r="AZ19" s="46">
        <v>0</v>
      </c>
    </row>
    <row r="20" spans="1:53" s="13" customFormat="1" x14ac:dyDescent="0.2">
      <c r="A20" s="10">
        <v>12</v>
      </c>
      <c r="B20" s="11" t="s">
        <v>126</v>
      </c>
      <c r="C20" s="12" t="s">
        <v>53</v>
      </c>
      <c r="D20" s="19">
        <f t="shared" si="0"/>
        <v>0.61538708333333336</v>
      </c>
      <c r="E20" s="44">
        <f t="shared" si="1"/>
        <v>0.59027777777777779</v>
      </c>
      <c r="F20" s="44">
        <f t="shared" si="2"/>
        <v>0.75694444444444442</v>
      </c>
      <c r="G20" s="28">
        <f t="shared" si="3"/>
        <v>0.52057611111111102</v>
      </c>
      <c r="H20" s="47">
        <f t="shared" si="4"/>
        <v>0.59374999999999989</v>
      </c>
      <c r="I20" s="44">
        <f t="shared" si="5"/>
        <v>0.625</v>
      </c>
      <c r="J20" s="28">
        <f t="shared" si="6"/>
        <v>0.55555555555555558</v>
      </c>
      <c r="K20" s="28">
        <f t="shared" si="7"/>
        <v>1</v>
      </c>
      <c r="L20" s="28">
        <f t="shared" si="8"/>
        <v>0.51388888888888884</v>
      </c>
      <c r="M20" s="28">
        <f t="shared" si="9"/>
        <v>0.39506166666666664</v>
      </c>
      <c r="N20" s="28">
        <f t="shared" si="10"/>
        <v>0.33333333333333331</v>
      </c>
      <c r="O20" s="28">
        <f t="shared" si="11"/>
        <v>0.83333333333333326</v>
      </c>
      <c r="P20" s="28">
        <f t="shared" si="12"/>
        <v>0.91666666666666652</v>
      </c>
      <c r="Q20" s="47">
        <f t="shared" si="13"/>
        <v>0.27083333333333331</v>
      </c>
      <c r="R20" s="45">
        <v>1</v>
      </c>
      <c r="S20" s="27">
        <v>1</v>
      </c>
      <c r="T20" s="27">
        <v>0.5</v>
      </c>
      <c r="U20" s="27">
        <v>0</v>
      </c>
      <c r="V20" s="27">
        <v>0.66666666666666696</v>
      </c>
      <c r="W20" s="27">
        <v>1</v>
      </c>
      <c r="X20" s="46">
        <v>0</v>
      </c>
      <c r="Y20" s="45">
        <v>1</v>
      </c>
      <c r="Z20" s="27">
        <v>1</v>
      </c>
      <c r="AA20" s="27">
        <v>1</v>
      </c>
      <c r="AB20" s="27">
        <v>0.25</v>
      </c>
      <c r="AC20" s="27">
        <v>1</v>
      </c>
      <c r="AD20" s="27">
        <v>1</v>
      </c>
      <c r="AE20" s="27">
        <v>0.25</v>
      </c>
      <c r="AF20" s="48">
        <v>0.33333333333333331</v>
      </c>
      <c r="AG20" s="46">
        <v>0.25</v>
      </c>
      <c r="AH20" s="45">
        <v>0.222222</v>
      </c>
      <c r="AI20" s="27">
        <v>0.111111</v>
      </c>
      <c r="AJ20" s="27">
        <v>3.7037E-2</v>
      </c>
      <c r="AK20" s="27">
        <v>0</v>
      </c>
      <c r="AL20" s="27">
        <v>1</v>
      </c>
      <c r="AM20" s="27">
        <v>1</v>
      </c>
      <c r="AN20" s="27">
        <v>1</v>
      </c>
      <c r="AO20" s="27">
        <v>0</v>
      </c>
      <c r="AP20" s="27">
        <v>0</v>
      </c>
      <c r="AQ20" s="27">
        <v>1</v>
      </c>
      <c r="AR20" s="27">
        <v>0.5</v>
      </c>
      <c r="AS20" s="46">
        <v>1</v>
      </c>
      <c r="AT20" s="45">
        <v>0.75</v>
      </c>
      <c r="AU20" s="27">
        <v>1</v>
      </c>
      <c r="AV20" s="27">
        <v>1</v>
      </c>
      <c r="AW20" s="27">
        <v>0.33333333333333331</v>
      </c>
      <c r="AX20" s="27">
        <v>0.75</v>
      </c>
      <c r="AY20" s="27">
        <v>0</v>
      </c>
      <c r="AZ20" s="46">
        <v>0</v>
      </c>
    </row>
    <row r="21" spans="1:53" s="13" customFormat="1" x14ac:dyDescent="0.2">
      <c r="A21" s="10">
        <v>6</v>
      </c>
      <c r="B21" s="11" t="s">
        <v>124</v>
      </c>
      <c r="C21" s="12" t="s">
        <v>55</v>
      </c>
      <c r="D21" s="19">
        <f t="shared" si="0"/>
        <v>0.60243055555555558</v>
      </c>
      <c r="E21" s="51">
        <f t="shared" si="1"/>
        <v>0.70138888888888884</v>
      </c>
      <c r="F21" s="44">
        <f t="shared" si="2"/>
        <v>0.60763888888888884</v>
      </c>
      <c r="G21" s="28">
        <f t="shared" si="3"/>
        <v>0.7222222222222221</v>
      </c>
      <c r="H21" s="47">
        <f t="shared" si="4"/>
        <v>0.37847222222222221</v>
      </c>
      <c r="I21" s="44">
        <f t="shared" si="5"/>
        <v>0.875</v>
      </c>
      <c r="J21" s="28">
        <f t="shared" si="6"/>
        <v>0.52777777777777768</v>
      </c>
      <c r="K21" s="28">
        <f t="shared" si="7"/>
        <v>0.66666666666666663</v>
      </c>
      <c r="L21" s="28">
        <f t="shared" si="8"/>
        <v>0.54861111111111105</v>
      </c>
      <c r="M21" s="28">
        <f t="shared" si="9"/>
        <v>0.33333333333333331</v>
      </c>
      <c r="N21" s="28">
        <f t="shared" si="10"/>
        <v>1</v>
      </c>
      <c r="O21" s="28">
        <f t="shared" si="11"/>
        <v>0.83333333333333326</v>
      </c>
      <c r="P21" s="28">
        <f t="shared" si="12"/>
        <v>0.61111111111111116</v>
      </c>
      <c r="Q21" s="47">
        <f t="shared" si="13"/>
        <v>0.14583333333333331</v>
      </c>
      <c r="R21" s="45">
        <v>1</v>
      </c>
      <c r="S21" s="27">
        <v>1</v>
      </c>
      <c r="T21" s="27">
        <v>0.75</v>
      </c>
      <c r="U21" s="27">
        <v>0.75</v>
      </c>
      <c r="V21" s="27">
        <v>0.33333333333333298</v>
      </c>
      <c r="W21" s="27">
        <v>0.75</v>
      </c>
      <c r="X21" s="46">
        <v>0.5</v>
      </c>
      <c r="Y21" s="45">
        <v>1</v>
      </c>
      <c r="Z21" s="27">
        <v>1</v>
      </c>
      <c r="AA21" s="27">
        <v>0</v>
      </c>
      <c r="AB21" s="27">
        <v>0.25</v>
      </c>
      <c r="AC21" s="27">
        <v>1</v>
      </c>
      <c r="AD21" s="27">
        <v>0.875</v>
      </c>
      <c r="AE21" s="28">
        <v>0.25</v>
      </c>
      <c r="AF21" s="28">
        <f>2/3</f>
        <v>0.66666666666666663</v>
      </c>
      <c r="AG21" s="46">
        <v>0.25</v>
      </c>
      <c r="AH21" s="45">
        <v>0</v>
      </c>
      <c r="AI21" s="27">
        <v>0</v>
      </c>
      <c r="AJ21" s="27">
        <v>0</v>
      </c>
      <c r="AK21" s="27">
        <v>0</v>
      </c>
      <c r="AL21" s="27">
        <v>1</v>
      </c>
      <c r="AM21" s="27">
        <v>1</v>
      </c>
      <c r="AN21" s="27">
        <v>1</v>
      </c>
      <c r="AO21" s="27">
        <v>1</v>
      </c>
      <c r="AP21" s="27">
        <v>1</v>
      </c>
      <c r="AQ21" s="27">
        <v>1</v>
      </c>
      <c r="AR21" s="27">
        <v>0.5</v>
      </c>
      <c r="AS21" s="46">
        <v>1</v>
      </c>
      <c r="AT21" s="45">
        <v>0.5</v>
      </c>
      <c r="AU21" s="27">
        <v>1</v>
      </c>
      <c r="AV21" s="27">
        <v>0.33333333333333331</v>
      </c>
      <c r="AW21" s="27">
        <v>0.33333333333333331</v>
      </c>
      <c r="AX21" s="27">
        <v>0.25</v>
      </c>
      <c r="AY21" s="27">
        <v>0</v>
      </c>
      <c r="AZ21" s="46">
        <v>0</v>
      </c>
    </row>
    <row r="22" spans="1:53" s="13" customFormat="1" x14ac:dyDescent="0.2">
      <c r="A22" s="10">
        <v>8</v>
      </c>
      <c r="B22" s="11" t="s">
        <v>121</v>
      </c>
      <c r="C22" s="12" t="s">
        <v>75</v>
      </c>
      <c r="D22" s="19">
        <f t="shared" si="0"/>
        <v>0.59982638888888884</v>
      </c>
      <c r="E22" s="51">
        <f t="shared" si="1"/>
        <v>0.58333333333333326</v>
      </c>
      <c r="F22" s="44">
        <f t="shared" si="2"/>
        <v>0.85416666666666663</v>
      </c>
      <c r="G22" s="28">
        <f t="shared" si="3"/>
        <v>0.38888888888888884</v>
      </c>
      <c r="H22" s="47">
        <f t="shared" si="4"/>
        <v>0.57291666666666663</v>
      </c>
      <c r="I22" s="44">
        <f t="shared" si="5"/>
        <v>0.75</v>
      </c>
      <c r="J22" s="28">
        <f t="shared" si="6"/>
        <v>0.41666666666666663</v>
      </c>
      <c r="K22" s="28">
        <f t="shared" si="7"/>
        <v>1</v>
      </c>
      <c r="L22" s="28">
        <f t="shared" si="8"/>
        <v>0.70833333333333326</v>
      </c>
      <c r="M22" s="28">
        <f t="shared" si="9"/>
        <v>0.33333333333333331</v>
      </c>
      <c r="N22" s="28">
        <f t="shared" si="10"/>
        <v>0.33333333333333331</v>
      </c>
      <c r="O22" s="28">
        <f t="shared" si="11"/>
        <v>0.5</v>
      </c>
      <c r="P22" s="28">
        <f t="shared" si="12"/>
        <v>0.83333333333333326</v>
      </c>
      <c r="Q22" s="47">
        <f t="shared" si="13"/>
        <v>0.3125</v>
      </c>
      <c r="R22" s="45">
        <v>1</v>
      </c>
      <c r="S22" s="27">
        <v>1</v>
      </c>
      <c r="T22" s="27">
        <v>1</v>
      </c>
      <c r="U22" s="27">
        <v>0</v>
      </c>
      <c r="V22" s="27">
        <v>0</v>
      </c>
      <c r="W22" s="27">
        <v>0.25</v>
      </c>
      <c r="X22" s="46">
        <v>1</v>
      </c>
      <c r="Y22" s="45">
        <v>1</v>
      </c>
      <c r="Z22" s="27">
        <v>1</v>
      </c>
      <c r="AA22" s="27">
        <v>1</v>
      </c>
      <c r="AB22" s="27">
        <v>0.75</v>
      </c>
      <c r="AC22" s="27">
        <v>1</v>
      </c>
      <c r="AD22" s="27">
        <v>1</v>
      </c>
      <c r="AE22" s="27">
        <v>0.75</v>
      </c>
      <c r="AF22" s="27">
        <v>0</v>
      </c>
      <c r="AG22" s="46">
        <v>0.75</v>
      </c>
      <c r="AH22" s="45">
        <v>0</v>
      </c>
      <c r="AI22" s="27">
        <v>0</v>
      </c>
      <c r="AJ22" s="27">
        <v>0</v>
      </c>
      <c r="AK22" s="27">
        <v>0</v>
      </c>
      <c r="AL22" s="27">
        <v>1</v>
      </c>
      <c r="AM22" s="27">
        <v>1</v>
      </c>
      <c r="AN22" s="27">
        <v>1</v>
      </c>
      <c r="AO22" s="27">
        <v>0</v>
      </c>
      <c r="AP22" s="27">
        <v>0</v>
      </c>
      <c r="AQ22" s="27">
        <v>1</v>
      </c>
      <c r="AR22" s="27">
        <v>0.5</v>
      </c>
      <c r="AS22" s="46">
        <v>0</v>
      </c>
      <c r="AT22" s="45">
        <v>0.5</v>
      </c>
      <c r="AU22" s="27">
        <v>1</v>
      </c>
      <c r="AV22" s="27">
        <v>1</v>
      </c>
      <c r="AW22" s="27">
        <v>1</v>
      </c>
      <c r="AX22" s="27">
        <v>0.25</v>
      </c>
      <c r="AY22" s="27">
        <v>0</v>
      </c>
      <c r="AZ22" s="46">
        <v>0</v>
      </c>
    </row>
    <row r="23" spans="1:53" s="13" customFormat="1" x14ac:dyDescent="0.2">
      <c r="A23" s="10">
        <v>26</v>
      </c>
      <c r="B23" s="11" t="s">
        <v>113</v>
      </c>
      <c r="C23" s="12" t="s">
        <v>55</v>
      </c>
      <c r="D23" s="19">
        <f t="shared" si="0"/>
        <v>0.55642361111111105</v>
      </c>
      <c r="E23" s="52">
        <f t="shared" si="1"/>
        <v>0.88541666666666663</v>
      </c>
      <c r="F23" s="45">
        <f t="shared" si="2"/>
        <v>0.36458333333333331</v>
      </c>
      <c r="G23" s="27">
        <f t="shared" si="3"/>
        <v>0.63888888888888884</v>
      </c>
      <c r="H23" s="46">
        <f t="shared" si="4"/>
        <v>0.33680555555555547</v>
      </c>
      <c r="I23" s="45">
        <f t="shared" si="5"/>
        <v>0.9375</v>
      </c>
      <c r="J23" s="27">
        <f t="shared" si="6"/>
        <v>0.83333333333333326</v>
      </c>
      <c r="K23" s="27">
        <f t="shared" si="7"/>
        <v>0.33333333333333331</v>
      </c>
      <c r="L23" s="27">
        <f t="shared" si="8"/>
        <v>0.39583333333333331</v>
      </c>
      <c r="M23" s="27">
        <f t="shared" si="9"/>
        <v>0.33333333333333331</v>
      </c>
      <c r="N23" s="27">
        <f t="shared" si="10"/>
        <v>1</v>
      </c>
      <c r="O23" s="27">
        <f t="shared" si="11"/>
        <v>0.58333333333333337</v>
      </c>
      <c r="P23" s="27">
        <f t="shared" si="12"/>
        <v>0.52777777777777768</v>
      </c>
      <c r="Q23" s="46">
        <f t="shared" si="13"/>
        <v>0.14583333333333331</v>
      </c>
      <c r="R23" s="45">
        <v>1</v>
      </c>
      <c r="S23" s="27">
        <v>1</v>
      </c>
      <c r="T23" s="27">
        <v>1</v>
      </c>
      <c r="U23" s="27">
        <v>0.75</v>
      </c>
      <c r="V23" s="27">
        <v>1</v>
      </c>
      <c r="W23" s="27">
        <v>0.5</v>
      </c>
      <c r="X23" s="46">
        <v>1</v>
      </c>
      <c r="Y23" s="45">
        <v>1</v>
      </c>
      <c r="Z23" s="27">
        <v>0</v>
      </c>
      <c r="AA23" s="27">
        <v>0</v>
      </c>
      <c r="AB23" s="27">
        <v>0.25</v>
      </c>
      <c r="AC23" s="27">
        <v>1</v>
      </c>
      <c r="AD23" s="27">
        <f>1/8</f>
        <v>0.125</v>
      </c>
      <c r="AE23" s="27">
        <v>0.5</v>
      </c>
      <c r="AF23" s="27">
        <v>0</v>
      </c>
      <c r="AG23" s="46">
        <v>0.5</v>
      </c>
      <c r="AH23" s="45">
        <v>1</v>
      </c>
      <c r="AI23" s="27">
        <v>0</v>
      </c>
      <c r="AJ23" s="27">
        <v>0</v>
      </c>
      <c r="AK23" s="27">
        <v>0</v>
      </c>
      <c r="AL23" s="27">
        <v>0</v>
      </c>
      <c r="AM23" s="27">
        <v>1</v>
      </c>
      <c r="AN23" s="27">
        <v>1</v>
      </c>
      <c r="AO23" s="27">
        <v>1</v>
      </c>
      <c r="AP23" s="27">
        <v>1</v>
      </c>
      <c r="AQ23" s="27">
        <v>1</v>
      </c>
      <c r="AR23" s="27">
        <v>0.5</v>
      </c>
      <c r="AS23" s="46">
        <v>0.25</v>
      </c>
      <c r="AT23" s="45">
        <v>0.25</v>
      </c>
      <c r="AU23" s="27">
        <v>1</v>
      </c>
      <c r="AV23" s="27">
        <f>1/3</f>
        <v>0.33333333333333331</v>
      </c>
      <c r="AW23" s="27">
        <f>1/3</f>
        <v>0.33333333333333331</v>
      </c>
      <c r="AX23" s="27">
        <v>0.25</v>
      </c>
      <c r="AY23" s="27">
        <v>0</v>
      </c>
      <c r="AZ23" s="46">
        <v>0</v>
      </c>
    </row>
    <row r="24" spans="1:53" s="13" customFormat="1" x14ac:dyDescent="0.2">
      <c r="A24" s="10">
        <v>7</v>
      </c>
      <c r="B24" s="11" t="s">
        <v>111</v>
      </c>
      <c r="C24" s="12" t="s">
        <v>55</v>
      </c>
      <c r="D24" s="19">
        <f t="shared" si="0"/>
        <v>0.55063657407407407</v>
      </c>
      <c r="E24" s="51">
        <f t="shared" si="1"/>
        <v>0.80555555555555547</v>
      </c>
      <c r="F24" s="44">
        <f t="shared" si="2"/>
        <v>0.72569444444444442</v>
      </c>
      <c r="G24" s="28">
        <f t="shared" si="3"/>
        <v>0.46296296296296291</v>
      </c>
      <c r="H24" s="47">
        <f t="shared" si="4"/>
        <v>0.20833333333333331</v>
      </c>
      <c r="I24" s="44">
        <f t="shared" si="5"/>
        <v>1</v>
      </c>
      <c r="J24" s="28">
        <f t="shared" si="6"/>
        <v>0.61111111111111094</v>
      </c>
      <c r="K24" s="28">
        <f t="shared" si="7"/>
        <v>1</v>
      </c>
      <c r="L24" s="28">
        <f t="shared" si="8"/>
        <v>0.4513888888888889</v>
      </c>
      <c r="M24" s="28">
        <f t="shared" si="9"/>
        <v>0.55555555555555547</v>
      </c>
      <c r="N24" s="28">
        <f t="shared" si="10"/>
        <v>0.33333333333333331</v>
      </c>
      <c r="O24" s="28">
        <f t="shared" si="11"/>
        <v>0.5</v>
      </c>
      <c r="P24" s="28">
        <f t="shared" si="12"/>
        <v>0.41666666666666663</v>
      </c>
      <c r="Q24" s="47">
        <f t="shared" si="13"/>
        <v>0</v>
      </c>
      <c r="R24" s="45">
        <v>1</v>
      </c>
      <c r="S24" s="27">
        <v>1</v>
      </c>
      <c r="T24" s="27">
        <v>1</v>
      </c>
      <c r="U24" s="27">
        <v>1</v>
      </c>
      <c r="V24" s="27">
        <v>0.33333333333333298</v>
      </c>
      <c r="W24" s="27">
        <v>0.5</v>
      </c>
      <c r="X24" s="46">
        <v>1</v>
      </c>
      <c r="Y24" s="45">
        <v>1</v>
      </c>
      <c r="Z24" s="27">
        <v>1</v>
      </c>
      <c r="AA24" s="27">
        <v>1</v>
      </c>
      <c r="AB24" s="27">
        <v>0.5</v>
      </c>
      <c r="AC24" s="27">
        <v>1</v>
      </c>
      <c r="AD24" s="27">
        <v>0.375</v>
      </c>
      <c r="AE24" s="27">
        <v>0.25</v>
      </c>
      <c r="AF24" s="48">
        <v>0.33333333333333331</v>
      </c>
      <c r="AG24" s="46">
        <v>0.25</v>
      </c>
      <c r="AH24" s="45">
        <v>1</v>
      </c>
      <c r="AI24" s="27">
        <v>0</v>
      </c>
      <c r="AJ24" s="48">
        <v>0.33333333333333331</v>
      </c>
      <c r="AK24" s="27">
        <v>0</v>
      </c>
      <c r="AL24" s="27">
        <v>1</v>
      </c>
      <c r="AM24" s="27">
        <v>1</v>
      </c>
      <c r="AN24" s="27">
        <v>1</v>
      </c>
      <c r="AO24" s="27">
        <v>0</v>
      </c>
      <c r="AP24" s="27">
        <v>0</v>
      </c>
      <c r="AQ24" s="27">
        <v>1</v>
      </c>
      <c r="AR24" s="27">
        <v>0.5</v>
      </c>
      <c r="AS24" s="46">
        <v>0</v>
      </c>
      <c r="AT24" s="45">
        <v>0.25</v>
      </c>
      <c r="AU24" s="27">
        <v>1</v>
      </c>
      <c r="AV24" s="27">
        <v>0</v>
      </c>
      <c r="AW24" s="27">
        <v>0</v>
      </c>
      <c r="AX24" s="27">
        <v>0</v>
      </c>
      <c r="AY24" s="27">
        <v>0</v>
      </c>
      <c r="AZ24" s="46">
        <v>0</v>
      </c>
    </row>
    <row r="25" spans="1:53" s="13" customFormat="1" x14ac:dyDescent="0.2">
      <c r="A25" s="10">
        <v>9</v>
      </c>
      <c r="B25" s="11" t="s">
        <v>122</v>
      </c>
      <c r="C25" s="12" t="s">
        <v>75</v>
      </c>
      <c r="D25" s="19">
        <f t="shared" si="0"/>
        <v>0.49652777777777779</v>
      </c>
      <c r="E25" s="51">
        <f t="shared" si="1"/>
        <v>0.52777777777777779</v>
      </c>
      <c r="F25" s="44">
        <f t="shared" si="2"/>
        <v>0.57986111111111105</v>
      </c>
      <c r="G25" s="28">
        <f t="shared" si="3"/>
        <v>0.5</v>
      </c>
      <c r="H25" s="47">
        <f t="shared" si="4"/>
        <v>0.37847222222222221</v>
      </c>
      <c r="I25" s="44">
        <f t="shared" si="5"/>
        <v>0.75</v>
      </c>
      <c r="J25" s="28">
        <f t="shared" si="6"/>
        <v>0.30555555555555564</v>
      </c>
      <c r="K25" s="28">
        <f t="shared" si="7"/>
        <v>0.66666666666666663</v>
      </c>
      <c r="L25" s="28">
        <f t="shared" si="8"/>
        <v>0.49305555555555552</v>
      </c>
      <c r="M25" s="28">
        <f t="shared" si="9"/>
        <v>0.33333333333333331</v>
      </c>
      <c r="N25" s="28">
        <f t="shared" si="10"/>
        <v>0.66666666666666663</v>
      </c>
      <c r="O25" s="28">
        <f t="shared" si="11"/>
        <v>0.5</v>
      </c>
      <c r="P25" s="28">
        <f t="shared" si="12"/>
        <v>0.52777777777777768</v>
      </c>
      <c r="Q25" s="47">
        <f t="shared" si="13"/>
        <v>0.22916666666666674</v>
      </c>
      <c r="R25" s="45">
        <v>1</v>
      </c>
      <c r="S25" s="27">
        <v>1</v>
      </c>
      <c r="T25" s="27">
        <v>0.5</v>
      </c>
      <c r="U25" s="27">
        <v>0.5</v>
      </c>
      <c r="V25" s="27">
        <v>0.66666666666666696</v>
      </c>
      <c r="W25" s="27">
        <v>0.25</v>
      </c>
      <c r="X25" s="46">
        <v>0</v>
      </c>
      <c r="Y25" s="45">
        <v>1</v>
      </c>
      <c r="Z25" s="27">
        <v>0</v>
      </c>
      <c r="AA25" s="27">
        <v>1</v>
      </c>
      <c r="AB25" s="27">
        <v>0.25</v>
      </c>
      <c r="AC25" s="27">
        <v>1</v>
      </c>
      <c r="AD25" s="27">
        <v>0.875</v>
      </c>
      <c r="AE25" s="27">
        <v>0.25</v>
      </c>
      <c r="AF25" s="48">
        <v>0.33333333333333331</v>
      </c>
      <c r="AG25" s="46">
        <v>0.25</v>
      </c>
      <c r="AH25" s="45">
        <v>0</v>
      </c>
      <c r="AI25" s="27">
        <v>0</v>
      </c>
      <c r="AJ25" s="27">
        <v>0</v>
      </c>
      <c r="AK25" s="27">
        <v>0</v>
      </c>
      <c r="AL25" s="27">
        <v>1</v>
      </c>
      <c r="AM25" s="27">
        <v>1</v>
      </c>
      <c r="AN25" s="27">
        <v>1</v>
      </c>
      <c r="AO25" s="27">
        <v>1</v>
      </c>
      <c r="AP25" s="27">
        <v>0</v>
      </c>
      <c r="AQ25" s="27">
        <v>1</v>
      </c>
      <c r="AR25" s="27">
        <v>0.5</v>
      </c>
      <c r="AS25" s="46">
        <v>0</v>
      </c>
      <c r="AT25" s="45">
        <v>0.25</v>
      </c>
      <c r="AU25" s="27">
        <v>1</v>
      </c>
      <c r="AV25" s="27">
        <v>0.33333333333333331</v>
      </c>
      <c r="AW25" s="50">
        <v>0.66666666666666696</v>
      </c>
      <c r="AX25" s="27">
        <v>0.25</v>
      </c>
      <c r="AY25" s="27">
        <v>0</v>
      </c>
      <c r="AZ25" s="46">
        <v>0</v>
      </c>
    </row>
    <row r="26" spans="1:53" s="13" customFormat="1" x14ac:dyDescent="0.2">
      <c r="A26" s="10">
        <v>1</v>
      </c>
      <c r="B26" s="11" t="s">
        <v>123</v>
      </c>
      <c r="C26" s="12" t="s">
        <v>75</v>
      </c>
      <c r="D26" s="19">
        <f t="shared" si="0"/>
        <v>0.49243055555555548</v>
      </c>
      <c r="E26" s="51">
        <f t="shared" si="1"/>
        <v>0.54166666666666663</v>
      </c>
      <c r="F26" s="44">
        <f t="shared" si="2"/>
        <v>0.53125</v>
      </c>
      <c r="G26" s="28">
        <f t="shared" si="3"/>
        <v>0.38888888888888884</v>
      </c>
      <c r="H26" s="47">
        <f t="shared" si="4"/>
        <v>0.50791666666666668</v>
      </c>
      <c r="I26" s="44">
        <f t="shared" si="5"/>
        <v>0.75</v>
      </c>
      <c r="J26" s="28">
        <f t="shared" si="6"/>
        <v>0.33333333333333331</v>
      </c>
      <c r="K26" s="28">
        <f t="shared" si="7"/>
        <v>0.66666666666666663</v>
      </c>
      <c r="L26" s="28">
        <f t="shared" si="8"/>
        <v>0.39583333333333331</v>
      </c>
      <c r="M26" s="28">
        <f t="shared" si="9"/>
        <v>0.33333333333333331</v>
      </c>
      <c r="N26" s="28">
        <f t="shared" si="10"/>
        <v>0.33333333333333331</v>
      </c>
      <c r="O26" s="28">
        <f t="shared" si="11"/>
        <v>0.5</v>
      </c>
      <c r="P26" s="28">
        <f t="shared" si="12"/>
        <v>0.72333333333333338</v>
      </c>
      <c r="Q26" s="47">
        <f t="shared" si="13"/>
        <v>0.29249999999999998</v>
      </c>
      <c r="R26" s="44">
        <v>1</v>
      </c>
      <c r="S26" s="28">
        <v>1</v>
      </c>
      <c r="T26" s="28">
        <v>0.75</v>
      </c>
      <c r="U26" s="28">
        <v>0.25</v>
      </c>
      <c r="V26" s="28">
        <v>0</v>
      </c>
      <c r="W26" s="28">
        <v>0</v>
      </c>
      <c r="X26" s="47">
        <v>1</v>
      </c>
      <c r="Y26" s="44">
        <v>1</v>
      </c>
      <c r="Z26" s="28">
        <v>0</v>
      </c>
      <c r="AA26" s="28">
        <v>1</v>
      </c>
      <c r="AB26" s="28">
        <v>0.25</v>
      </c>
      <c r="AC26" s="28">
        <v>1</v>
      </c>
      <c r="AD26" s="28">
        <f>5/8</f>
        <v>0.625</v>
      </c>
      <c r="AE26" s="28">
        <v>0.5</v>
      </c>
      <c r="AF26" s="28">
        <v>0</v>
      </c>
      <c r="AG26" s="47">
        <v>0</v>
      </c>
      <c r="AH26" s="44">
        <v>0</v>
      </c>
      <c r="AI26" s="28">
        <v>0</v>
      </c>
      <c r="AJ26" s="28">
        <v>0</v>
      </c>
      <c r="AK26" s="28">
        <v>0</v>
      </c>
      <c r="AL26" s="28">
        <v>1</v>
      </c>
      <c r="AM26" s="28">
        <v>1</v>
      </c>
      <c r="AN26" s="28">
        <v>1</v>
      </c>
      <c r="AO26" s="28">
        <v>0</v>
      </c>
      <c r="AP26" s="28">
        <v>0</v>
      </c>
      <c r="AQ26" s="28">
        <v>1</v>
      </c>
      <c r="AR26" s="28">
        <v>0.5</v>
      </c>
      <c r="AS26" s="47">
        <v>0</v>
      </c>
      <c r="AT26" s="44">
        <v>0.5</v>
      </c>
      <c r="AU26" s="28">
        <v>1</v>
      </c>
      <c r="AV26" s="28">
        <v>0.67</v>
      </c>
      <c r="AW26" s="28">
        <v>0.67</v>
      </c>
      <c r="AX26" s="28">
        <v>0.5</v>
      </c>
      <c r="AY26" s="28">
        <v>0</v>
      </c>
      <c r="AZ26" s="47">
        <v>0</v>
      </c>
      <c r="BA26" s="14"/>
    </row>
    <row r="27" spans="1:53" s="13" customFormat="1" x14ac:dyDescent="0.2">
      <c r="A27" s="10">
        <v>24</v>
      </c>
      <c r="B27" s="11" t="s">
        <v>114</v>
      </c>
      <c r="C27" s="12" t="s">
        <v>55</v>
      </c>
      <c r="D27" s="19">
        <f t="shared" si="0"/>
        <v>0.44357638888888884</v>
      </c>
      <c r="E27" s="52">
        <f t="shared" si="1"/>
        <v>0.54166666666666663</v>
      </c>
      <c r="F27" s="45">
        <f t="shared" si="2"/>
        <v>0.59027777777777768</v>
      </c>
      <c r="G27" s="27">
        <f t="shared" si="3"/>
        <v>0.38888888888888884</v>
      </c>
      <c r="H27" s="46">
        <f t="shared" si="4"/>
        <v>0.25347222222222221</v>
      </c>
      <c r="I27" s="45">
        <f t="shared" si="5"/>
        <v>0.75</v>
      </c>
      <c r="J27" s="27">
        <f t="shared" si="6"/>
        <v>0.33333333333333331</v>
      </c>
      <c r="K27" s="27">
        <f t="shared" si="7"/>
        <v>0.66666666666666663</v>
      </c>
      <c r="L27" s="27">
        <f t="shared" si="8"/>
        <v>0.51388888888888884</v>
      </c>
      <c r="M27" s="27">
        <f t="shared" si="9"/>
        <v>0.33333333333333331</v>
      </c>
      <c r="N27" s="27">
        <f t="shared" si="10"/>
        <v>0.33333333333333331</v>
      </c>
      <c r="O27" s="27">
        <f t="shared" si="11"/>
        <v>0.5</v>
      </c>
      <c r="P27" s="27">
        <f t="shared" si="12"/>
        <v>0.3611111111111111</v>
      </c>
      <c r="Q27" s="46">
        <f t="shared" si="13"/>
        <v>0.14583333333333331</v>
      </c>
      <c r="R27" s="45">
        <v>1</v>
      </c>
      <c r="S27" s="27">
        <v>1</v>
      </c>
      <c r="T27" s="27">
        <v>1</v>
      </c>
      <c r="U27" s="27">
        <v>0</v>
      </c>
      <c r="V27" s="27">
        <v>0</v>
      </c>
      <c r="W27" s="27">
        <v>0.5</v>
      </c>
      <c r="X27" s="46">
        <v>0.5</v>
      </c>
      <c r="Y27" s="45">
        <v>1</v>
      </c>
      <c r="Z27" s="27">
        <v>0</v>
      </c>
      <c r="AA27" s="27">
        <v>1</v>
      </c>
      <c r="AB27" s="27">
        <v>0.75</v>
      </c>
      <c r="AC27" s="27">
        <v>1</v>
      </c>
      <c r="AD27" s="27">
        <v>0.5</v>
      </c>
      <c r="AE27" s="27">
        <v>0.25</v>
      </c>
      <c r="AF27" s="27">
        <f>1/3</f>
        <v>0.33333333333333331</v>
      </c>
      <c r="AG27" s="46">
        <v>0.25</v>
      </c>
      <c r="AH27" s="45">
        <v>0</v>
      </c>
      <c r="AI27" s="27">
        <v>0</v>
      </c>
      <c r="AJ27" s="27">
        <v>0</v>
      </c>
      <c r="AK27" s="27">
        <v>0</v>
      </c>
      <c r="AL27" s="27">
        <v>1</v>
      </c>
      <c r="AM27" s="27">
        <v>1</v>
      </c>
      <c r="AN27" s="27">
        <v>1</v>
      </c>
      <c r="AO27" s="27">
        <v>0</v>
      </c>
      <c r="AP27" s="27">
        <v>0</v>
      </c>
      <c r="AQ27" s="27">
        <v>1</v>
      </c>
      <c r="AR27" s="27">
        <v>0.5</v>
      </c>
      <c r="AS27" s="46">
        <v>0</v>
      </c>
      <c r="AT27" s="45">
        <v>0.25</v>
      </c>
      <c r="AU27" s="27">
        <v>0.5</v>
      </c>
      <c r="AV27" s="27">
        <f>1/3</f>
        <v>0.33333333333333331</v>
      </c>
      <c r="AW27" s="27">
        <f>1/3</f>
        <v>0.33333333333333331</v>
      </c>
      <c r="AX27" s="27">
        <v>0.25</v>
      </c>
      <c r="AY27" s="27">
        <v>0</v>
      </c>
      <c r="AZ27" s="46">
        <v>0</v>
      </c>
    </row>
    <row r="28" spans="1:53" s="13" customFormat="1" x14ac:dyDescent="0.2">
      <c r="A28" s="10">
        <v>17</v>
      </c>
      <c r="B28" s="11" t="s">
        <v>107</v>
      </c>
      <c r="C28" s="12" t="s">
        <v>53</v>
      </c>
      <c r="D28" s="19">
        <f t="shared" si="0"/>
        <v>0.43055555555555552</v>
      </c>
      <c r="E28" s="51">
        <f t="shared" si="1"/>
        <v>0.45833333333333331</v>
      </c>
      <c r="F28" s="44">
        <f t="shared" si="2"/>
        <v>0.45486111111111105</v>
      </c>
      <c r="G28" s="28">
        <f t="shared" si="3"/>
        <v>0.33333333333333331</v>
      </c>
      <c r="H28" s="47">
        <f t="shared" si="4"/>
        <v>0.47569444444444442</v>
      </c>
      <c r="I28" s="44">
        <f t="shared" si="5"/>
        <v>0.75</v>
      </c>
      <c r="J28" s="28">
        <f t="shared" si="6"/>
        <v>0.16666666666666666</v>
      </c>
      <c r="K28" s="28">
        <f t="shared" si="7"/>
        <v>0.33333333333333331</v>
      </c>
      <c r="L28" s="28">
        <f t="shared" si="8"/>
        <v>0.57638888888888884</v>
      </c>
      <c r="M28" s="28">
        <f t="shared" si="9"/>
        <v>0.16666666666666666</v>
      </c>
      <c r="N28" s="28">
        <f t="shared" si="10"/>
        <v>0.33333333333333331</v>
      </c>
      <c r="O28" s="28">
        <f t="shared" si="11"/>
        <v>0.5</v>
      </c>
      <c r="P28" s="28">
        <f t="shared" si="12"/>
        <v>0.72222222222222221</v>
      </c>
      <c r="Q28" s="47">
        <f t="shared" si="13"/>
        <v>0.22916666666666666</v>
      </c>
      <c r="R28" s="44">
        <v>1</v>
      </c>
      <c r="S28" s="28">
        <v>1</v>
      </c>
      <c r="T28" s="28">
        <v>1</v>
      </c>
      <c r="U28" s="28">
        <v>0</v>
      </c>
      <c r="V28" s="28">
        <v>0</v>
      </c>
      <c r="W28" s="28">
        <v>0</v>
      </c>
      <c r="X28" s="47">
        <v>0.5</v>
      </c>
      <c r="Y28" s="44">
        <v>1</v>
      </c>
      <c r="Z28" s="28">
        <v>0</v>
      </c>
      <c r="AA28" s="28">
        <v>0</v>
      </c>
      <c r="AB28" s="28">
        <v>0.25</v>
      </c>
      <c r="AC28" s="28">
        <v>1</v>
      </c>
      <c r="AD28" s="28">
        <f>7/8</f>
        <v>0.875</v>
      </c>
      <c r="AE28" s="28">
        <v>0.75</v>
      </c>
      <c r="AF28" s="28">
        <f>1/3</f>
        <v>0.33333333333333331</v>
      </c>
      <c r="AG28" s="47">
        <v>0.25</v>
      </c>
      <c r="AH28" s="44">
        <v>0</v>
      </c>
      <c r="AI28" s="28">
        <v>0</v>
      </c>
      <c r="AJ28" s="28">
        <v>0</v>
      </c>
      <c r="AK28" s="28">
        <v>0</v>
      </c>
      <c r="AL28" s="28">
        <v>0</v>
      </c>
      <c r="AM28" s="28">
        <v>1</v>
      </c>
      <c r="AN28" s="28">
        <v>1</v>
      </c>
      <c r="AO28" s="28">
        <v>0</v>
      </c>
      <c r="AP28" s="28">
        <v>0</v>
      </c>
      <c r="AQ28" s="28">
        <v>1</v>
      </c>
      <c r="AR28" s="28">
        <v>0.5</v>
      </c>
      <c r="AS28" s="47">
        <v>0</v>
      </c>
      <c r="AT28" s="44">
        <v>0.5</v>
      </c>
      <c r="AU28" s="28">
        <v>1</v>
      </c>
      <c r="AV28" s="28">
        <f>2/3</f>
        <v>0.66666666666666663</v>
      </c>
      <c r="AW28" s="28">
        <f>2/3</f>
        <v>0.66666666666666663</v>
      </c>
      <c r="AX28" s="28">
        <v>0.25</v>
      </c>
      <c r="AY28" s="28">
        <v>0</v>
      </c>
      <c r="AZ28" s="47">
        <v>0</v>
      </c>
    </row>
    <row r="38" spans="4:4" x14ac:dyDescent="0.2">
      <c r="D38" s="59"/>
    </row>
    <row r="39" spans="4:4" x14ac:dyDescent="0.2">
      <c r="D39" s="59"/>
    </row>
    <row r="40" spans="4:4" x14ac:dyDescent="0.2">
      <c r="D40" s="59"/>
    </row>
    <row r="41" spans="4:4" x14ac:dyDescent="0.2">
      <c r="D41" s="59"/>
    </row>
    <row r="42" spans="4:4" x14ac:dyDescent="0.2">
      <c r="D42" s="59"/>
    </row>
    <row r="43" spans="4:4" x14ac:dyDescent="0.2">
      <c r="D43" s="59"/>
    </row>
    <row r="44" spans="4:4" x14ac:dyDescent="0.2">
      <c r="D44" s="59"/>
    </row>
    <row r="45" spans="4:4" x14ac:dyDescent="0.2">
      <c r="D45" s="59"/>
    </row>
    <row r="46" spans="4:4" x14ac:dyDescent="0.2">
      <c r="D46" s="59"/>
    </row>
    <row r="47" spans="4:4" x14ac:dyDescent="0.2">
      <c r="D47" s="59"/>
    </row>
    <row r="48" spans="4:4" x14ac:dyDescent="0.2">
      <c r="D48" s="59"/>
    </row>
    <row r="49" spans="4:4" x14ac:dyDescent="0.2">
      <c r="D49" s="59"/>
    </row>
    <row r="50" spans="4:4" x14ac:dyDescent="0.2">
      <c r="D50" s="59"/>
    </row>
    <row r="51" spans="4:4" x14ac:dyDescent="0.2">
      <c r="D51" s="59"/>
    </row>
    <row r="52" spans="4:4" x14ac:dyDescent="0.2">
      <c r="D52" s="59"/>
    </row>
    <row r="53" spans="4:4" x14ac:dyDescent="0.2">
      <c r="D53" s="59"/>
    </row>
    <row r="54" spans="4:4" x14ac:dyDescent="0.2">
      <c r="D54" s="59"/>
    </row>
    <row r="55" spans="4:4" x14ac:dyDescent="0.2">
      <c r="D55" s="59"/>
    </row>
    <row r="56" spans="4:4" x14ac:dyDescent="0.2">
      <c r="D56" s="59"/>
    </row>
    <row r="57" spans="4:4" x14ac:dyDescent="0.2">
      <c r="D57" s="59"/>
    </row>
    <row r="58" spans="4:4" x14ac:dyDescent="0.2">
      <c r="D58" s="59"/>
    </row>
    <row r="59" spans="4:4" x14ac:dyDescent="0.2">
      <c r="D59" s="59"/>
    </row>
    <row r="60" spans="4:4" x14ac:dyDescent="0.2">
      <c r="D60" s="59"/>
    </row>
    <row r="61" spans="4:4" x14ac:dyDescent="0.2">
      <c r="D61" s="59"/>
    </row>
    <row r="62" spans="4:4" x14ac:dyDescent="0.2">
      <c r="D62" s="59"/>
    </row>
    <row r="63" spans="4:4" x14ac:dyDescent="0.2">
      <c r="D63" s="59"/>
    </row>
    <row r="64" spans="4:4" x14ac:dyDescent="0.2">
      <c r="D64" s="59"/>
    </row>
    <row r="65" spans="4:4" x14ac:dyDescent="0.2">
      <c r="D65" s="59"/>
    </row>
    <row r="66" spans="4:4" x14ac:dyDescent="0.2">
      <c r="D66" s="59"/>
    </row>
    <row r="67" spans="4:4" x14ac:dyDescent="0.2">
      <c r="D67" s="59"/>
    </row>
    <row r="68" spans="4:4" x14ac:dyDescent="0.2">
      <c r="D68" s="59"/>
    </row>
    <row r="69" spans="4:4" x14ac:dyDescent="0.2">
      <c r="D69" s="59"/>
    </row>
    <row r="70" spans="4:4" x14ac:dyDescent="0.2">
      <c r="D70" s="59"/>
    </row>
    <row r="71" spans="4:4" x14ac:dyDescent="0.2">
      <c r="D71" s="59"/>
    </row>
    <row r="72" spans="4:4" x14ac:dyDescent="0.2">
      <c r="D72" s="59"/>
    </row>
    <row r="73" spans="4:4" x14ac:dyDescent="0.2">
      <c r="D73" s="59"/>
    </row>
    <row r="74" spans="4:4" x14ac:dyDescent="0.2">
      <c r="D74" s="59"/>
    </row>
    <row r="75" spans="4:4" x14ac:dyDescent="0.2">
      <c r="D75" s="59"/>
    </row>
    <row r="76" spans="4:4" x14ac:dyDescent="0.2">
      <c r="D76" s="59"/>
    </row>
    <row r="77" spans="4:4" x14ac:dyDescent="0.2">
      <c r="D77" s="59"/>
    </row>
    <row r="78" spans="4:4" x14ac:dyDescent="0.2">
      <c r="D78" s="59"/>
    </row>
    <row r="79" spans="4:4" x14ac:dyDescent="0.2">
      <c r="D79" s="59"/>
    </row>
    <row r="80" spans="4:4" x14ac:dyDescent="0.2">
      <c r="D80" s="59"/>
    </row>
    <row r="81" spans="4:4" x14ac:dyDescent="0.2">
      <c r="D81" s="59"/>
    </row>
  </sheetData>
  <autoFilter ref="A1:BA28" xr:uid="{ED024D74-F58D-43CF-A407-304FD0F42D61}">
    <sortState xmlns:xlrd2="http://schemas.microsoft.com/office/spreadsheetml/2017/richdata2" ref="A2:BA28">
      <sortCondition descending="1" ref="D1:D28"/>
    </sortState>
  </autoFilter>
  <conditionalFormatting sqref="D2:D28">
    <cfRule type="colorScale" priority="1">
      <colorScale>
        <cfvo type="percent" val="0"/>
        <cfvo type="percentile" val="50"/>
        <cfvo type="percent" val="10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1B0D8-7AB6-46A7-8002-9846B392DF14}">
  <dimension ref="A1:E57"/>
  <sheetViews>
    <sheetView workbookViewId="0">
      <selection activeCell="B3" sqref="B3"/>
    </sheetView>
  </sheetViews>
  <sheetFormatPr baseColWidth="10" defaultRowHeight="15" x14ac:dyDescent="0.2"/>
  <cols>
    <col min="1" max="1" width="75.33203125" bestFit="1" customWidth="1"/>
    <col min="2" max="2" width="28" style="18" bestFit="1" customWidth="1"/>
    <col min="3" max="3" width="10.1640625" bestFit="1" customWidth="1"/>
    <col min="4" max="4" width="29.1640625" bestFit="1" customWidth="1"/>
    <col min="5" max="5" width="12.6640625" bestFit="1" customWidth="1"/>
    <col min="6" max="9" width="76.33203125" bestFit="1" customWidth="1"/>
    <col min="10" max="10" width="33" bestFit="1" customWidth="1"/>
    <col min="11" max="25" width="58.6640625" bestFit="1" customWidth="1"/>
    <col min="26" max="26" width="15" bestFit="1" customWidth="1"/>
    <col min="27" max="29" width="49.1640625" bestFit="1" customWidth="1"/>
    <col min="30" max="30" width="34.1640625" bestFit="1" customWidth="1"/>
    <col min="31" max="31" width="12.6640625" bestFit="1" customWidth="1"/>
    <col min="32" max="32" width="16.1640625" bestFit="1" customWidth="1"/>
    <col min="33" max="33" width="12.6640625" bestFit="1" customWidth="1"/>
  </cols>
  <sheetData>
    <row r="1" spans="1:5" x14ac:dyDescent="0.2">
      <c r="A1" s="15" t="s">
        <v>12</v>
      </c>
      <c r="B1" t="s">
        <v>92</v>
      </c>
    </row>
    <row r="3" spans="1:5" x14ac:dyDescent="0.2">
      <c r="B3" s="15" t="s">
        <v>91</v>
      </c>
    </row>
    <row r="4" spans="1:5" x14ac:dyDescent="0.2">
      <c r="A4" s="15" t="s">
        <v>82</v>
      </c>
      <c r="B4" t="s">
        <v>53</v>
      </c>
      <c r="C4" t="s">
        <v>55</v>
      </c>
      <c r="D4" t="s">
        <v>75</v>
      </c>
      <c r="E4" t="s">
        <v>83</v>
      </c>
    </row>
    <row r="5" spans="1:5" x14ac:dyDescent="0.2">
      <c r="A5" s="16" t="s">
        <v>60</v>
      </c>
      <c r="B5" s="20"/>
      <c r="C5" s="20"/>
      <c r="D5" s="20"/>
      <c r="E5" s="20"/>
    </row>
    <row r="6" spans="1:5" x14ac:dyDescent="0.2">
      <c r="A6" s="16" t="s">
        <v>70</v>
      </c>
      <c r="B6" s="20"/>
      <c r="C6" s="20"/>
      <c r="D6" s="20"/>
      <c r="E6" s="20"/>
    </row>
    <row r="7" spans="1:5" x14ac:dyDescent="0.2">
      <c r="A7" s="16" t="s">
        <v>81</v>
      </c>
      <c r="B7" s="20"/>
      <c r="C7" s="20"/>
      <c r="D7" s="20"/>
      <c r="E7" s="20"/>
    </row>
    <row r="8" spans="1:5" x14ac:dyDescent="0.2">
      <c r="A8" s="16" t="s">
        <v>71</v>
      </c>
      <c r="B8" s="20"/>
      <c r="C8" s="20"/>
      <c r="D8" s="20"/>
      <c r="E8" s="20"/>
    </row>
    <row r="9" spans="1:5" x14ac:dyDescent="0.2">
      <c r="A9" s="16" t="s">
        <v>69</v>
      </c>
      <c r="B9" s="20"/>
      <c r="C9" s="20"/>
      <c r="D9" s="20"/>
      <c r="E9" s="20"/>
    </row>
    <row r="10" spans="1:5" x14ac:dyDescent="0.2">
      <c r="A10" s="16" t="s">
        <v>63</v>
      </c>
      <c r="B10" s="20"/>
      <c r="C10" s="20"/>
      <c r="D10" s="20"/>
      <c r="E10" s="20"/>
    </row>
    <row r="11" spans="1:5" x14ac:dyDescent="0.2">
      <c r="A11" s="16" t="s">
        <v>72</v>
      </c>
      <c r="B11" s="20"/>
      <c r="C11" s="20"/>
      <c r="D11" s="20"/>
      <c r="E11" s="20"/>
    </row>
    <row r="12" spans="1:5" x14ac:dyDescent="0.2">
      <c r="A12" s="16" t="s">
        <v>52</v>
      </c>
      <c r="B12" s="20"/>
      <c r="C12" s="20"/>
      <c r="D12" s="20"/>
      <c r="E12" s="20"/>
    </row>
    <row r="13" spans="1:5" x14ac:dyDescent="0.2">
      <c r="A13" s="16" t="s">
        <v>65</v>
      </c>
      <c r="B13" s="20"/>
      <c r="C13" s="20"/>
      <c r="D13" s="20"/>
      <c r="E13" s="20"/>
    </row>
    <row r="14" spans="1:5" x14ac:dyDescent="0.2">
      <c r="A14" s="16" t="s">
        <v>64</v>
      </c>
      <c r="B14" s="20"/>
      <c r="C14" s="20"/>
      <c r="D14" s="20"/>
      <c r="E14" s="20"/>
    </row>
    <row r="15" spans="1:5" x14ac:dyDescent="0.2">
      <c r="A15" s="16" t="s">
        <v>77</v>
      </c>
      <c r="B15" s="20"/>
      <c r="C15" s="20"/>
      <c r="D15" s="20"/>
      <c r="E15" s="20"/>
    </row>
    <row r="16" spans="1:5" x14ac:dyDescent="0.2">
      <c r="A16" s="16" t="s">
        <v>56</v>
      </c>
      <c r="B16" s="20"/>
      <c r="C16" s="20"/>
      <c r="D16" s="20"/>
      <c r="E16" s="20"/>
    </row>
    <row r="17" spans="1:5" x14ac:dyDescent="0.2">
      <c r="A17" s="16" t="s">
        <v>76</v>
      </c>
      <c r="B17" s="20"/>
      <c r="C17" s="20"/>
      <c r="D17" s="20"/>
      <c r="E17" s="20"/>
    </row>
    <row r="18" spans="1:5" x14ac:dyDescent="0.2">
      <c r="A18" s="16" t="s">
        <v>62</v>
      </c>
      <c r="B18" s="20"/>
      <c r="C18" s="20"/>
      <c r="D18" s="20"/>
      <c r="E18" s="20"/>
    </row>
    <row r="19" spans="1:5" x14ac:dyDescent="0.2">
      <c r="A19" s="16" t="s">
        <v>73</v>
      </c>
      <c r="B19" s="20"/>
      <c r="C19" s="20"/>
      <c r="D19" s="20"/>
      <c r="E19" s="20"/>
    </row>
    <row r="20" spans="1:5" x14ac:dyDescent="0.2">
      <c r="A20" s="16" t="s">
        <v>80</v>
      </c>
      <c r="B20" s="20"/>
      <c r="C20" s="20"/>
      <c r="D20" s="20"/>
      <c r="E20" s="20"/>
    </row>
    <row r="21" spans="1:5" x14ac:dyDescent="0.2">
      <c r="A21" s="16" t="s">
        <v>68</v>
      </c>
      <c r="B21" s="20"/>
      <c r="C21" s="20"/>
      <c r="D21" s="20"/>
      <c r="E21" s="20"/>
    </row>
    <row r="22" spans="1:5" x14ac:dyDescent="0.2">
      <c r="A22" s="16" t="s">
        <v>57</v>
      </c>
      <c r="B22" s="20"/>
      <c r="C22" s="20"/>
      <c r="D22" s="20"/>
      <c r="E22" s="20"/>
    </row>
    <row r="23" spans="1:5" x14ac:dyDescent="0.2">
      <c r="A23" s="16" t="s">
        <v>61</v>
      </c>
      <c r="B23" s="20"/>
      <c r="C23" s="20"/>
      <c r="D23" s="20"/>
      <c r="E23" s="20"/>
    </row>
    <row r="24" spans="1:5" x14ac:dyDescent="0.2">
      <c r="A24" s="16" t="s">
        <v>54</v>
      </c>
      <c r="B24" s="20"/>
      <c r="C24" s="20"/>
      <c r="D24" s="20"/>
      <c r="E24" s="20"/>
    </row>
    <row r="25" spans="1:5" x14ac:dyDescent="0.2">
      <c r="A25" s="16" t="s">
        <v>66</v>
      </c>
      <c r="B25" s="20"/>
      <c r="C25" s="20"/>
      <c r="D25" s="20"/>
      <c r="E25" s="20"/>
    </row>
    <row r="26" spans="1:5" x14ac:dyDescent="0.2">
      <c r="A26" s="16" t="s">
        <v>59</v>
      </c>
      <c r="B26" s="20"/>
      <c r="C26" s="20"/>
      <c r="D26" s="20"/>
      <c r="E26" s="20"/>
    </row>
    <row r="27" spans="1:5" x14ac:dyDescent="0.2">
      <c r="A27" s="16" t="s">
        <v>67</v>
      </c>
      <c r="B27" s="20"/>
      <c r="C27" s="20"/>
      <c r="D27" s="20"/>
      <c r="E27" s="20"/>
    </row>
    <row r="28" spans="1:5" x14ac:dyDescent="0.2">
      <c r="A28" s="16" t="s">
        <v>58</v>
      </c>
      <c r="B28" s="20"/>
      <c r="C28" s="20"/>
      <c r="D28" s="20"/>
      <c r="E28" s="20"/>
    </row>
    <row r="29" spans="1:5" x14ac:dyDescent="0.2">
      <c r="A29" s="16" t="s">
        <v>74</v>
      </c>
      <c r="B29" s="20"/>
      <c r="C29" s="20"/>
      <c r="D29" s="20"/>
      <c r="E29" s="20"/>
    </row>
    <row r="30" spans="1:5" x14ac:dyDescent="0.2">
      <c r="A30" s="16" t="s">
        <v>78</v>
      </c>
      <c r="B30" s="20"/>
      <c r="C30" s="20"/>
      <c r="D30" s="20"/>
      <c r="E30" s="20"/>
    </row>
    <row r="31" spans="1:5" x14ac:dyDescent="0.2">
      <c r="A31" s="16" t="s">
        <v>79</v>
      </c>
      <c r="B31" s="20"/>
      <c r="C31" s="20"/>
      <c r="D31" s="20"/>
      <c r="E31" s="20"/>
    </row>
    <row r="32" spans="1:5" x14ac:dyDescent="0.2">
      <c r="A32" s="16" t="s">
        <v>83</v>
      </c>
      <c r="B32" s="20"/>
      <c r="C32" s="20"/>
      <c r="D32" s="20"/>
      <c r="E32" s="20"/>
    </row>
    <row r="33" spans="2:2" x14ac:dyDescent="0.2">
      <c r="B33"/>
    </row>
    <row r="34" spans="2:2" x14ac:dyDescent="0.2">
      <c r="B34"/>
    </row>
    <row r="35" spans="2:2" x14ac:dyDescent="0.2">
      <c r="B35"/>
    </row>
    <row r="36" spans="2:2" x14ac:dyDescent="0.2">
      <c r="B36"/>
    </row>
    <row r="37" spans="2:2" x14ac:dyDescent="0.2">
      <c r="B37"/>
    </row>
    <row r="38" spans="2:2" x14ac:dyDescent="0.2">
      <c r="B38"/>
    </row>
    <row r="39" spans="2:2" x14ac:dyDescent="0.2">
      <c r="B39"/>
    </row>
    <row r="40" spans="2:2" x14ac:dyDescent="0.2">
      <c r="B40"/>
    </row>
    <row r="41" spans="2:2" x14ac:dyDescent="0.2">
      <c r="B41"/>
    </row>
    <row r="42" spans="2:2" x14ac:dyDescent="0.2">
      <c r="B42"/>
    </row>
    <row r="43" spans="2:2" x14ac:dyDescent="0.2">
      <c r="B43"/>
    </row>
    <row r="44" spans="2:2" x14ac:dyDescent="0.2">
      <c r="B44"/>
    </row>
    <row r="45" spans="2:2" x14ac:dyDescent="0.2">
      <c r="B45"/>
    </row>
    <row r="46" spans="2:2" x14ac:dyDescent="0.2">
      <c r="B46"/>
    </row>
    <row r="47" spans="2:2" x14ac:dyDescent="0.2">
      <c r="B47"/>
    </row>
    <row r="48" spans="2:2" x14ac:dyDescent="0.2">
      <c r="B48"/>
    </row>
    <row r="49" spans="2:2" x14ac:dyDescent="0.2">
      <c r="B49"/>
    </row>
    <row r="50" spans="2:2" x14ac:dyDescent="0.2">
      <c r="B50"/>
    </row>
    <row r="51" spans="2:2" x14ac:dyDescent="0.2">
      <c r="B51"/>
    </row>
    <row r="52" spans="2:2" x14ac:dyDescent="0.2">
      <c r="B52"/>
    </row>
    <row r="53" spans="2:2" x14ac:dyDescent="0.2">
      <c r="B53"/>
    </row>
    <row r="54" spans="2:2" x14ac:dyDescent="0.2">
      <c r="B54"/>
    </row>
    <row r="55" spans="2:2" x14ac:dyDescent="0.2">
      <c r="B55"/>
    </row>
    <row r="56" spans="2:2" x14ac:dyDescent="0.2">
      <c r="B56"/>
    </row>
    <row r="57" spans="2:2" x14ac:dyDescent="0.2">
      <c r="B5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3C835-273D-4EA1-959A-3283B9BAB07B}">
  <dimension ref="A1:D34"/>
  <sheetViews>
    <sheetView workbookViewId="0">
      <selection activeCell="A4" sqref="A4:C8"/>
    </sheetView>
  </sheetViews>
  <sheetFormatPr baseColWidth="10" defaultRowHeight="15" x14ac:dyDescent="0.2"/>
  <cols>
    <col min="1" max="1" width="52.6640625" bestFit="1" customWidth="1"/>
    <col min="2" max="2" width="22.83203125" style="131" bestFit="1" customWidth="1"/>
    <col min="3" max="3" width="7" bestFit="1" customWidth="1"/>
    <col min="4" max="5" width="12.6640625" bestFit="1" customWidth="1"/>
  </cols>
  <sheetData>
    <row r="1" spans="1:4" x14ac:dyDescent="0.2">
      <c r="B1"/>
    </row>
    <row r="3" spans="1:4" x14ac:dyDescent="0.2">
      <c r="A3" s="15" t="s">
        <v>148</v>
      </c>
      <c r="B3" s="15" t="s">
        <v>91</v>
      </c>
    </row>
    <row r="4" spans="1:4" x14ac:dyDescent="0.2">
      <c r="A4" s="15" t="s">
        <v>82</v>
      </c>
      <c r="B4" s="148">
        <v>2024</v>
      </c>
      <c r="C4" s="148">
        <v>2025</v>
      </c>
      <c r="D4" t="s">
        <v>83</v>
      </c>
    </row>
    <row r="5" spans="1:4" x14ac:dyDescent="0.2">
      <c r="A5" s="16" t="s">
        <v>53</v>
      </c>
      <c r="B5" s="59">
        <v>0.64359836625514388</v>
      </c>
      <c r="C5" s="59">
        <v>0.60285138888888889</v>
      </c>
      <c r="D5" s="59">
        <v>0.62322487757201639</v>
      </c>
    </row>
    <row r="6" spans="1:4" x14ac:dyDescent="0.2">
      <c r="A6" s="16" t="s">
        <v>55</v>
      </c>
      <c r="B6" s="59">
        <v>0.65079969135802473</v>
      </c>
      <c r="C6" s="59">
        <v>0.60272328703703715</v>
      </c>
      <c r="D6" s="59">
        <v>0.62676148919753072</v>
      </c>
    </row>
    <row r="7" spans="1:4" x14ac:dyDescent="0.2">
      <c r="A7" s="16" t="s">
        <v>75</v>
      </c>
      <c r="B7" s="59">
        <v>0.52959490740740733</v>
      </c>
      <c r="C7" s="59">
        <v>0.42243159722222218</v>
      </c>
      <c r="D7" s="59">
        <v>0.47601325231481478</v>
      </c>
    </row>
    <row r="8" spans="1:4" x14ac:dyDescent="0.2">
      <c r="A8" s="16" t="s">
        <v>83</v>
      </c>
      <c r="B8" s="59">
        <v>0.63493205144032905</v>
      </c>
      <c r="C8" s="59">
        <v>0.58273357767489709</v>
      </c>
      <c r="D8" s="59">
        <v>0.60883281455761296</v>
      </c>
    </row>
    <row r="9" spans="1:4" x14ac:dyDescent="0.2">
      <c r="B9"/>
    </row>
    <row r="10" spans="1:4" x14ac:dyDescent="0.2">
      <c r="B10"/>
    </row>
    <row r="11" spans="1:4" x14ac:dyDescent="0.2">
      <c r="B11"/>
    </row>
    <row r="12" spans="1:4" x14ac:dyDescent="0.2">
      <c r="B12"/>
    </row>
    <row r="13" spans="1:4" x14ac:dyDescent="0.2">
      <c r="B13"/>
    </row>
    <row r="14" spans="1:4" x14ac:dyDescent="0.2">
      <c r="B14"/>
    </row>
    <row r="15" spans="1:4" x14ac:dyDescent="0.2">
      <c r="B15"/>
    </row>
    <row r="16" spans="1:4" x14ac:dyDescent="0.2">
      <c r="B16"/>
    </row>
    <row r="17" spans="2:2" x14ac:dyDescent="0.2">
      <c r="B17"/>
    </row>
    <row r="18" spans="2:2" x14ac:dyDescent="0.2">
      <c r="B18"/>
    </row>
    <row r="19" spans="2:2" x14ac:dyDescent="0.2">
      <c r="B19"/>
    </row>
    <row r="20" spans="2:2" x14ac:dyDescent="0.2">
      <c r="B20"/>
    </row>
    <row r="21" spans="2:2" x14ac:dyDescent="0.2">
      <c r="B21"/>
    </row>
    <row r="22" spans="2:2" x14ac:dyDescent="0.2">
      <c r="B22"/>
    </row>
    <row r="23" spans="2:2" x14ac:dyDescent="0.2">
      <c r="B23"/>
    </row>
    <row r="24" spans="2:2" x14ac:dyDescent="0.2">
      <c r="B24"/>
    </row>
    <row r="25" spans="2:2" x14ac:dyDescent="0.2">
      <c r="B25"/>
    </row>
    <row r="26" spans="2:2" x14ac:dyDescent="0.2">
      <c r="B26"/>
    </row>
    <row r="27" spans="2:2" x14ac:dyDescent="0.2">
      <c r="B27"/>
    </row>
    <row r="28" spans="2:2" x14ac:dyDescent="0.2">
      <c r="B28"/>
    </row>
    <row r="29" spans="2:2" x14ac:dyDescent="0.2">
      <c r="B29"/>
    </row>
    <row r="30" spans="2:2" x14ac:dyDescent="0.2">
      <c r="B30"/>
    </row>
    <row r="31" spans="2:2" x14ac:dyDescent="0.2">
      <c r="B31"/>
    </row>
    <row r="32" spans="2:2" x14ac:dyDescent="0.2">
      <c r="B32"/>
    </row>
    <row r="33" spans="2:2" x14ac:dyDescent="0.2">
      <c r="B33"/>
    </row>
    <row r="34" spans="2:2" x14ac:dyDescent="0.2">
      <c r="B3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FA9F4-9429-4714-B2E5-68C661FDB24D}">
  <dimension ref="A2:J83"/>
  <sheetViews>
    <sheetView showGridLines="0" tabSelected="1" zoomScale="85" zoomScaleNormal="85" workbookViewId="0">
      <selection activeCell="D94" sqref="D94"/>
    </sheetView>
  </sheetViews>
  <sheetFormatPr baseColWidth="10" defaultRowHeight="15" x14ac:dyDescent="0.2"/>
  <cols>
    <col min="2" max="2" width="25.6640625" bestFit="1" customWidth="1"/>
    <col min="3" max="3" width="34" customWidth="1"/>
    <col min="4" max="4" width="22.33203125" bestFit="1" customWidth="1"/>
    <col min="5" max="5" width="21.6640625" customWidth="1"/>
    <col min="6" max="6" width="31.1640625" customWidth="1"/>
    <col min="7" max="7" width="37.1640625" customWidth="1"/>
    <col min="9" max="9" width="28.6640625" customWidth="1"/>
    <col min="10" max="10" width="36.6640625" customWidth="1"/>
  </cols>
  <sheetData>
    <row r="2" spans="1:6" x14ac:dyDescent="0.2">
      <c r="B2" s="22" t="s">
        <v>85</v>
      </c>
      <c r="C2" s="22" t="s">
        <v>86</v>
      </c>
      <c r="D2" s="22" t="s">
        <v>87</v>
      </c>
      <c r="E2" s="22" t="s">
        <v>88</v>
      </c>
    </row>
    <row r="3" spans="1:6" x14ac:dyDescent="0.2">
      <c r="A3">
        <v>2024</v>
      </c>
      <c r="B3" s="21">
        <v>0.71591460905349813</v>
      </c>
      <c r="C3" s="21">
        <v>0.72402263374485598</v>
      </c>
      <c r="D3" s="21">
        <v>0.58886582748851923</v>
      </c>
      <c r="E3" s="21">
        <v>0.52322736625514399</v>
      </c>
      <c r="F3" t="s">
        <v>89</v>
      </c>
    </row>
    <row r="4" spans="1:6" x14ac:dyDescent="0.2">
      <c r="A4">
        <v>2025</v>
      </c>
      <c r="B4" s="21">
        <v>0.71591460905349813</v>
      </c>
      <c r="C4" s="21">
        <v>0.72402263374485598</v>
      </c>
      <c r="D4" s="21">
        <v>0.58886582748851923</v>
      </c>
      <c r="E4" s="21">
        <v>0.52322736625514399</v>
      </c>
    </row>
    <row r="5" spans="1:6" x14ac:dyDescent="0.2">
      <c r="A5">
        <v>2025</v>
      </c>
      <c r="B5" s="130">
        <v>0.66182098765432096</v>
      </c>
      <c r="C5" s="130">
        <v>0.71031893004115199</v>
      </c>
      <c r="D5" s="130">
        <v>0.57048806584362144</v>
      </c>
      <c r="E5" s="130">
        <v>0.3883063271604939</v>
      </c>
    </row>
    <row r="6" spans="1:6" x14ac:dyDescent="0.2">
      <c r="A6">
        <v>2025</v>
      </c>
      <c r="B6" s="130">
        <v>0.66182098765432096</v>
      </c>
      <c r="C6" s="130">
        <v>0.71031893004115199</v>
      </c>
      <c r="D6" s="130">
        <v>0.57048806584362144</v>
      </c>
      <c r="E6" s="130">
        <v>0.3883063271604939</v>
      </c>
    </row>
    <row r="49" spans="2:10" x14ac:dyDescent="0.2">
      <c r="C49">
        <v>2025</v>
      </c>
    </row>
    <row r="50" spans="2:10" x14ac:dyDescent="0.2">
      <c r="B50" s="23" t="s">
        <v>90</v>
      </c>
      <c r="C50" s="23" t="s">
        <v>84</v>
      </c>
      <c r="D50" s="23" t="s">
        <v>85</v>
      </c>
      <c r="E50" s="23" t="s">
        <v>86</v>
      </c>
      <c r="F50" s="24" t="s">
        <v>87</v>
      </c>
      <c r="G50" s="24" t="s">
        <v>88</v>
      </c>
      <c r="J50" s="17"/>
    </row>
    <row r="51" spans="2:10" x14ac:dyDescent="0.2">
      <c r="B51" s="25" t="s">
        <v>53</v>
      </c>
      <c r="C51" s="26">
        <v>0.60285138888888889</v>
      </c>
      <c r="D51" s="26">
        <v>0.66930555555555549</v>
      </c>
      <c r="E51" s="26">
        <v>0.76351851851851849</v>
      </c>
      <c r="F51" s="26">
        <v>0.58427037037037033</v>
      </c>
      <c r="G51" s="26">
        <v>0.39431111111111117</v>
      </c>
      <c r="J51" s="18"/>
    </row>
    <row r="52" spans="2:10" x14ac:dyDescent="0.2">
      <c r="B52" s="25" t="s">
        <v>55</v>
      </c>
      <c r="C52" s="26">
        <v>0.60272328703703704</v>
      </c>
      <c r="D52" s="26">
        <v>0.69822222222222219</v>
      </c>
      <c r="E52" s="26">
        <v>0.71426851851851858</v>
      </c>
      <c r="F52" s="26">
        <v>0.59853851851851847</v>
      </c>
      <c r="G52" s="26">
        <v>0.39986388888888885</v>
      </c>
      <c r="J52" s="18"/>
    </row>
    <row r="53" spans="2:10" x14ac:dyDescent="0.2">
      <c r="B53" s="25" t="s">
        <v>75</v>
      </c>
      <c r="C53" s="26">
        <v>0.42243159722222218</v>
      </c>
      <c r="D53" s="26">
        <v>0.45736111111111111</v>
      </c>
      <c r="E53" s="26">
        <v>0.53097222222222229</v>
      </c>
      <c r="F53" s="26">
        <v>0.38888888888888884</v>
      </c>
      <c r="G53" s="26">
        <v>0.31250416666666669</v>
      </c>
      <c r="J53" s="18"/>
    </row>
    <row r="79" spans="3:5" x14ac:dyDescent="0.2">
      <c r="C79" s="149" t="s">
        <v>150</v>
      </c>
      <c r="D79" s="152">
        <v>2024</v>
      </c>
      <c r="E79" s="152">
        <v>2025</v>
      </c>
    </row>
    <row r="80" spans="3:5" x14ac:dyDescent="0.2">
      <c r="C80" s="16" t="s">
        <v>53</v>
      </c>
      <c r="D80" s="59">
        <v>0.64359836625514388</v>
      </c>
      <c r="E80" s="59">
        <v>0.60285138888888889</v>
      </c>
    </row>
    <row r="81" spans="3:5" x14ac:dyDescent="0.2">
      <c r="C81" s="16" t="s">
        <v>55</v>
      </c>
      <c r="D81" s="59">
        <v>0.65079969135802473</v>
      </c>
      <c r="E81" s="59">
        <v>0.60272328703703715</v>
      </c>
    </row>
    <row r="82" spans="3:5" x14ac:dyDescent="0.2">
      <c r="C82" s="16" t="s">
        <v>75</v>
      </c>
      <c r="D82" s="59">
        <v>0.52959490740740733</v>
      </c>
      <c r="E82" s="59">
        <v>0.42243159722222218</v>
      </c>
    </row>
    <row r="83" spans="3:5" x14ac:dyDescent="0.2">
      <c r="C83" s="150" t="s">
        <v>149</v>
      </c>
      <c r="D83" s="151">
        <v>0.63493205144032905</v>
      </c>
      <c r="E83" s="151">
        <v>0.58273357767489709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1B76F-E776-442B-9F09-483945F93125}">
  <dimension ref="A2:F164"/>
  <sheetViews>
    <sheetView showGridLines="0" zoomScale="70" zoomScaleNormal="70" workbookViewId="0">
      <selection activeCell="B70" sqref="B70:B99"/>
    </sheetView>
  </sheetViews>
  <sheetFormatPr baseColWidth="10" defaultColWidth="11.33203125" defaultRowHeight="15" x14ac:dyDescent="0.2"/>
  <cols>
    <col min="1" max="1" width="47.83203125" style="29" customWidth="1"/>
    <col min="2" max="2" width="21.1640625" style="132" customWidth="1"/>
    <col min="3" max="3" width="13.1640625" style="29" customWidth="1"/>
    <col min="4" max="4" width="16.1640625" style="29" customWidth="1"/>
    <col min="5" max="5" width="11.33203125" style="29"/>
    <col min="6" max="6" width="11" customWidth="1"/>
    <col min="7" max="16384" width="11.33203125" style="29"/>
  </cols>
  <sheetData>
    <row r="2" spans="1:6" ht="13" x14ac:dyDescent="0.15">
      <c r="A2" s="41" t="s">
        <v>134</v>
      </c>
      <c r="F2" s="29"/>
    </row>
    <row r="4" spans="1:6" ht="26.25" customHeight="1" thickBot="1" x14ac:dyDescent="0.2">
      <c r="A4" s="57" t="s">
        <v>94</v>
      </c>
      <c r="B4" s="133" t="s">
        <v>93</v>
      </c>
      <c r="F4" s="29"/>
    </row>
    <row r="5" spans="1:6" ht="13" x14ac:dyDescent="0.15">
      <c r="A5" s="34" t="s">
        <v>53</v>
      </c>
      <c r="B5" s="134">
        <v>0.79861111111111116</v>
      </c>
      <c r="C5" s="42">
        <f>AVERAGE(B6:B14)</f>
        <v>0.79861111111111116</v>
      </c>
      <c r="F5" s="29"/>
    </row>
    <row r="6" spans="1:6" ht="13" x14ac:dyDescent="0.15">
      <c r="A6" s="55" t="s">
        <v>103</v>
      </c>
      <c r="B6" s="32">
        <v>0.875</v>
      </c>
      <c r="F6" s="29"/>
    </row>
    <row r="7" spans="1:6" ht="13" x14ac:dyDescent="0.15">
      <c r="A7" s="56" t="s">
        <v>132</v>
      </c>
      <c r="B7" s="33">
        <v>0.875</v>
      </c>
      <c r="F7" s="29"/>
    </row>
    <row r="8" spans="1:6" ht="13" x14ac:dyDescent="0.15">
      <c r="A8" s="55" t="s">
        <v>107</v>
      </c>
      <c r="B8" s="32">
        <v>0.75</v>
      </c>
      <c r="F8" s="29"/>
    </row>
    <row r="9" spans="1:6" ht="13" x14ac:dyDescent="0.15">
      <c r="A9" s="56" t="s">
        <v>108</v>
      </c>
      <c r="B9" s="33">
        <v>0.6875</v>
      </c>
      <c r="F9" s="29"/>
    </row>
    <row r="10" spans="1:6" ht="13" x14ac:dyDescent="0.15">
      <c r="A10" s="55" t="s">
        <v>126</v>
      </c>
      <c r="B10" s="32">
        <v>0.6875</v>
      </c>
      <c r="F10" s="29"/>
    </row>
    <row r="11" spans="1:6" ht="13" x14ac:dyDescent="0.15">
      <c r="A11" s="56" t="s">
        <v>104</v>
      </c>
      <c r="B11" s="33">
        <v>0.875</v>
      </c>
      <c r="F11" s="29"/>
    </row>
    <row r="12" spans="1:6" ht="13" x14ac:dyDescent="0.15">
      <c r="A12" s="55" t="s">
        <v>125</v>
      </c>
      <c r="B12" s="32">
        <v>0.75</v>
      </c>
      <c r="F12" s="29"/>
    </row>
    <row r="13" spans="1:6" ht="13" x14ac:dyDescent="0.15">
      <c r="A13" s="56" t="s">
        <v>105</v>
      </c>
      <c r="B13" s="33">
        <v>1</v>
      </c>
      <c r="F13" s="29"/>
    </row>
    <row r="14" spans="1:6" ht="13" x14ac:dyDescent="0.15">
      <c r="A14" s="55" t="s">
        <v>127</v>
      </c>
      <c r="B14" s="32">
        <v>0.6875</v>
      </c>
      <c r="F14" s="29"/>
    </row>
    <row r="15" spans="1:6" ht="13" x14ac:dyDescent="0.15">
      <c r="A15" s="34" t="s">
        <v>55</v>
      </c>
      <c r="B15" s="35">
        <v>0.81666666666666665</v>
      </c>
      <c r="C15" s="42">
        <f>AVERAGE(B16:B30)</f>
        <v>0.81666666666666665</v>
      </c>
      <c r="F15" s="29"/>
    </row>
    <row r="16" spans="1:6" ht="13" x14ac:dyDescent="0.15">
      <c r="A16" s="55" t="s">
        <v>120</v>
      </c>
      <c r="B16" s="32">
        <v>0.8125</v>
      </c>
      <c r="F16" s="29"/>
    </row>
    <row r="17" spans="1:6" ht="13" x14ac:dyDescent="0.15">
      <c r="A17" s="56" t="s">
        <v>111</v>
      </c>
      <c r="B17" s="33">
        <v>0.5625</v>
      </c>
      <c r="F17" s="29"/>
    </row>
    <row r="18" spans="1:6" ht="13" x14ac:dyDescent="0.15">
      <c r="A18" s="55" t="s">
        <v>128</v>
      </c>
      <c r="B18" s="32">
        <v>0.75</v>
      </c>
      <c r="F18" s="29"/>
    </row>
    <row r="19" spans="1:6" ht="13" x14ac:dyDescent="0.15">
      <c r="A19" s="56" t="s">
        <v>110</v>
      </c>
      <c r="B19" s="33">
        <v>1</v>
      </c>
      <c r="F19" s="29"/>
    </row>
    <row r="20" spans="1:6" ht="13" x14ac:dyDescent="0.15">
      <c r="A20" s="55" t="s">
        <v>113</v>
      </c>
      <c r="B20" s="32">
        <v>0.9375</v>
      </c>
      <c r="F20" s="29"/>
    </row>
    <row r="21" spans="1:6" ht="13" x14ac:dyDescent="0.15">
      <c r="A21" s="56" t="s">
        <v>119</v>
      </c>
      <c r="B21" s="33">
        <v>0.9375</v>
      </c>
      <c r="F21" s="29"/>
    </row>
    <row r="22" spans="1:6" ht="13" x14ac:dyDescent="0.15">
      <c r="A22" s="55" t="s">
        <v>124</v>
      </c>
      <c r="B22" s="32">
        <v>0.6875</v>
      </c>
      <c r="F22" s="29"/>
    </row>
    <row r="23" spans="1:6" ht="13" x14ac:dyDescent="0.15">
      <c r="A23" s="56" t="s">
        <v>114</v>
      </c>
      <c r="B23" s="33">
        <v>0.5</v>
      </c>
      <c r="F23" s="29"/>
    </row>
    <row r="24" spans="1:6" ht="13" x14ac:dyDescent="0.15">
      <c r="A24" s="55" t="s">
        <v>86</v>
      </c>
      <c r="B24" s="32">
        <v>0.75</v>
      </c>
      <c r="F24" s="29"/>
    </row>
    <row r="25" spans="1:6" ht="13" x14ac:dyDescent="0.15">
      <c r="A25" s="56" t="s">
        <v>112</v>
      </c>
      <c r="B25" s="33">
        <v>1</v>
      </c>
      <c r="F25" s="29"/>
    </row>
    <row r="26" spans="1:6" ht="13" x14ac:dyDescent="0.15">
      <c r="A26" s="55" t="s">
        <v>115</v>
      </c>
      <c r="B26" s="32">
        <v>0.6875</v>
      </c>
      <c r="F26" s="29"/>
    </row>
    <row r="27" spans="1:6" ht="13" x14ac:dyDescent="0.15">
      <c r="A27" s="56" t="s">
        <v>117</v>
      </c>
      <c r="B27" s="33">
        <v>1</v>
      </c>
      <c r="F27" s="29"/>
    </row>
    <row r="28" spans="1:6" ht="13" x14ac:dyDescent="0.15">
      <c r="A28" s="55" t="s">
        <v>118</v>
      </c>
      <c r="B28" s="32">
        <v>0.875</v>
      </c>
      <c r="F28" s="29"/>
    </row>
    <row r="29" spans="1:6" ht="13" x14ac:dyDescent="0.15">
      <c r="A29" s="56" t="s">
        <v>109</v>
      </c>
      <c r="B29" s="33">
        <v>1</v>
      </c>
      <c r="F29" s="29"/>
    </row>
    <row r="30" spans="1:6" ht="13" x14ac:dyDescent="0.15">
      <c r="A30" s="55" t="s">
        <v>116</v>
      </c>
      <c r="B30" s="32">
        <v>0.75</v>
      </c>
      <c r="F30" s="29"/>
    </row>
    <row r="31" spans="1:6" ht="13" x14ac:dyDescent="0.15">
      <c r="A31" s="34" t="s">
        <v>75</v>
      </c>
      <c r="B31" s="64">
        <v>0.64583333333333337</v>
      </c>
      <c r="C31" s="42">
        <f>AVERAGE(B32:B34)</f>
        <v>0.64583333333333337</v>
      </c>
      <c r="F31" s="29"/>
    </row>
    <row r="32" spans="1:6" ht="13" x14ac:dyDescent="0.15">
      <c r="A32" s="55" t="s">
        <v>121</v>
      </c>
      <c r="B32" s="32">
        <v>0.6875</v>
      </c>
      <c r="F32" s="29"/>
    </row>
    <row r="33" spans="1:6" ht="13" x14ac:dyDescent="0.15">
      <c r="A33" s="56" t="s">
        <v>122</v>
      </c>
      <c r="B33" s="33">
        <v>0.5</v>
      </c>
      <c r="F33" s="29"/>
    </row>
    <row r="34" spans="1:6" ht="13" x14ac:dyDescent="0.15">
      <c r="A34" s="55" t="s">
        <v>123</v>
      </c>
      <c r="B34" s="32">
        <v>0.75</v>
      </c>
      <c r="F34" s="29"/>
    </row>
    <row r="36" spans="1:6" ht="13" x14ac:dyDescent="0.15">
      <c r="A36" s="29" t="s">
        <v>137</v>
      </c>
      <c r="F36" s="29"/>
    </row>
    <row r="37" spans="1:6" ht="14" x14ac:dyDescent="0.15">
      <c r="A37" s="40" t="s">
        <v>1</v>
      </c>
      <c r="B37" s="135" t="s">
        <v>136</v>
      </c>
      <c r="F37" s="29"/>
    </row>
    <row r="38" spans="1:6" ht="13" x14ac:dyDescent="0.15">
      <c r="A38" s="36" t="s">
        <v>110</v>
      </c>
      <c r="B38" s="37">
        <v>1</v>
      </c>
      <c r="F38" s="29"/>
    </row>
    <row r="39" spans="1:6" ht="13" x14ac:dyDescent="0.15">
      <c r="A39" s="36" t="s">
        <v>112</v>
      </c>
      <c r="B39" s="37">
        <v>1</v>
      </c>
      <c r="F39" s="29"/>
    </row>
    <row r="40" spans="1:6" ht="13" x14ac:dyDescent="0.15">
      <c r="A40" s="36" t="s">
        <v>105</v>
      </c>
      <c r="B40" s="37">
        <v>1</v>
      </c>
      <c r="F40" s="29"/>
    </row>
    <row r="41" spans="1:6" ht="13" x14ac:dyDescent="0.15">
      <c r="A41" s="36" t="s">
        <v>117</v>
      </c>
      <c r="B41" s="37">
        <v>1</v>
      </c>
      <c r="F41" s="29"/>
    </row>
    <row r="42" spans="1:6" ht="13" x14ac:dyDescent="0.15">
      <c r="A42" s="36" t="s">
        <v>109</v>
      </c>
      <c r="B42" s="37">
        <v>1</v>
      </c>
      <c r="F42" s="29"/>
    </row>
    <row r="43" spans="1:6" ht="13" x14ac:dyDescent="0.15">
      <c r="A43" s="36" t="s">
        <v>113</v>
      </c>
      <c r="B43" s="37">
        <v>0.9375</v>
      </c>
      <c r="F43" s="29"/>
    </row>
    <row r="44" spans="1:6" ht="13" x14ac:dyDescent="0.15">
      <c r="A44" s="36" t="s">
        <v>119</v>
      </c>
      <c r="B44" s="37">
        <v>0.9375</v>
      </c>
      <c r="F44" s="29"/>
    </row>
    <row r="45" spans="1:6" ht="13" x14ac:dyDescent="0.15">
      <c r="A45" s="36" t="s">
        <v>103</v>
      </c>
      <c r="B45" s="37">
        <v>0.875</v>
      </c>
      <c r="F45" s="29"/>
    </row>
    <row r="46" spans="1:6" ht="13" x14ac:dyDescent="0.15">
      <c r="A46" s="36" t="s">
        <v>132</v>
      </c>
      <c r="B46" s="37">
        <v>0.875</v>
      </c>
      <c r="F46" s="29"/>
    </row>
    <row r="47" spans="1:6" ht="13" x14ac:dyDescent="0.15">
      <c r="A47" s="36" t="s">
        <v>104</v>
      </c>
      <c r="B47" s="37">
        <v>0.875</v>
      </c>
      <c r="F47" s="29"/>
    </row>
    <row r="48" spans="1:6" ht="13" x14ac:dyDescent="0.15">
      <c r="A48" s="36" t="s">
        <v>118</v>
      </c>
      <c r="B48" s="37">
        <v>0.875</v>
      </c>
      <c r="F48" s="29"/>
    </row>
    <row r="49" spans="1:6" ht="13" x14ac:dyDescent="0.15">
      <c r="A49" s="36" t="s">
        <v>120</v>
      </c>
      <c r="B49" s="37">
        <v>0.8125</v>
      </c>
      <c r="F49" s="29"/>
    </row>
    <row r="50" spans="1:6" ht="13" x14ac:dyDescent="0.15">
      <c r="A50" s="36" t="s">
        <v>107</v>
      </c>
      <c r="B50" s="37">
        <v>0.75</v>
      </c>
      <c r="F50" s="29"/>
    </row>
    <row r="51" spans="1:6" ht="13" x14ac:dyDescent="0.15">
      <c r="A51" s="36" t="s">
        <v>128</v>
      </c>
      <c r="B51" s="37">
        <v>0.75</v>
      </c>
      <c r="F51" s="29"/>
    </row>
    <row r="52" spans="1:6" ht="13" x14ac:dyDescent="0.15">
      <c r="A52" s="36" t="s">
        <v>125</v>
      </c>
      <c r="B52" s="37">
        <v>0.75</v>
      </c>
      <c r="F52" s="29"/>
    </row>
    <row r="53" spans="1:6" ht="13" x14ac:dyDescent="0.15">
      <c r="A53" s="36" t="s">
        <v>86</v>
      </c>
      <c r="B53" s="37">
        <v>0.75</v>
      </c>
      <c r="F53" s="29"/>
    </row>
    <row r="54" spans="1:6" ht="13" x14ac:dyDescent="0.15">
      <c r="A54" s="36" t="s">
        <v>123</v>
      </c>
      <c r="B54" s="37">
        <v>0.75</v>
      </c>
      <c r="F54" s="29"/>
    </row>
    <row r="55" spans="1:6" ht="13" x14ac:dyDescent="0.15">
      <c r="A55" s="36" t="s">
        <v>116</v>
      </c>
      <c r="B55" s="37">
        <v>0.75</v>
      </c>
      <c r="F55" s="29"/>
    </row>
    <row r="56" spans="1:6" ht="13" x14ac:dyDescent="0.15">
      <c r="A56" s="36" t="s">
        <v>121</v>
      </c>
      <c r="B56" s="37">
        <v>0.6875</v>
      </c>
      <c r="F56" s="29"/>
    </row>
    <row r="57" spans="1:6" ht="13" x14ac:dyDescent="0.15">
      <c r="A57" s="36" t="s">
        <v>108</v>
      </c>
      <c r="B57" s="37">
        <v>0.6875</v>
      </c>
      <c r="F57" s="29"/>
    </row>
    <row r="58" spans="1:6" ht="13" x14ac:dyDescent="0.15">
      <c r="A58" s="36" t="s">
        <v>126</v>
      </c>
      <c r="B58" s="37">
        <v>0.6875</v>
      </c>
      <c r="F58" s="29"/>
    </row>
    <row r="59" spans="1:6" ht="13" x14ac:dyDescent="0.15">
      <c r="A59" s="36" t="s">
        <v>124</v>
      </c>
      <c r="B59" s="37">
        <v>0.6875</v>
      </c>
      <c r="F59" s="29"/>
    </row>
    <row r="60" spans="1:6" ht="13" x14ac:dyDescent="0.15">
      <c r="A60" s="36" t="s">
        <v>115</v>
      </c>
      <c r="B60" s="37">
        <v>0.6875</v>
      </c>
      <c r="F60" s="29"/>
    </row>
    <row r="61" spans="1:6" ht="13" x14ac:dyDescent="0.15">
      <c r="A61" s="36" t="s">
        <v>127</v>
      </c>
      <c r="B61" s="37">
        <v>0.6875</v>
      </c>
      <c r="F61" s="29"/>
    </row>
    <row r="62" spans="1:6" ht="13" x14ac:dyDescent="0.15">
      <c r="A62" s="36" t="s">
        <v>111</v>
      </c>
      <c r="B62" s="37">
        <v>0.5625</v>
      </c>
      <c r="F62" s="29"/>
    </row>
    <row r="63" spans="1:6" ht="13" x14ac:dyDescent="0.15">
      <c r="A63" s="36" t="s">
        <v>114</v>
      </c>
      <c r="B63" s="37">
        <v>0.5</v>
      </c>
      <c r="F63" s="29"/>
    </row>
    <row r="64" spans="1:6" ht="13" x14ac:dyDescent="0.15">
      <c r="A64" s="36" t="s">
        <v>122</v>
      </c>
      <c r="B64" s="37">
        <v>0.5</v>
      </c>
      <c r="F64" s="29"/>
    </row>
    <row r="65" spans="1:6" ht="13" x14ac:dyDescent="0.15">
      <c r="A65" s="38"/>
      <c r="B65" s="32"/>
      <c r="F65" s="29"/>
    </row>
    <row r="66" spans="1:6" ht="13" x14ac:dyDescent="0.15">
      <c r="A66" s="38"/>
      <c r="B66" s="32"/>
      <c r="F66" s="29"/>
    </row>
    <row r="67" spans="1:6" ht="13" x14ac:dyDescent="0.15">
      <c r="A67" s="41" t="s">
        <v>135</v>
      </c>
      <c r="B67" s="32"/>
      <c r="F67" s="29"/>
    </row>
    <row r="69" spans="1:6" ht="29" thickBot="1" x14ac:dyDescent="0.2">
      <c r="A69" s="31" t="s">
        <v>1</v>
      </c>
      <c r="B69" s="133" t="s">
        <v>93</v>
      </c>
      <c r="F69" s="29"/>
    </row>
    <row r="70" spans="1:6" ht="13" x14ac:dyDescent="0.15">
      <c r="A70" s="34" t="s">
        <v>53</v>
      </c>
      <c r="B70" s="146">
        <v>0.53999999999999992</v>
      </c>
      <c r="C70" s="42">
        <f>AVERAGE(B71:B79)</f>
        <v>0.53999999999999992</v>
      </c>
      <c r="F70" s="29"/>
    </row>
    <row r="71" spans="1:6" ht="13" x14ac:dyDescent="0.15">
      <c r="A71" s="60" t="s">
        <v>105</v>
      </c>
      <c r="B71" s="32">
        <v>0.91666666666666652</v>
      </c>
      <c r="F71" s="29"/>
    </row>
    <row r="72" spans="1:6" ht="13" x14ac:dyDescent="0.15">
      <c r="A72" s="61" t="s">
        <v>126</v>
      </c>
      <c r="B72" s="58">
        <v>0.91666666666666652</v>
      </c>
      <c r="F72" s="29"/>
    </row>
    <row r="73" spans="1:6" ht="13" x14ac:dyDescent="0.15">
      <c r="A73" s="60" t="s">
        <v>108</v>
      </c>
      <c r="B73" s="32">
        <v>0.72333333333333338</v>
      </c>
      <c r="F73" s="29"/>
    </row>
    <row r="74" spans="1:6" ht="13" x14ac:dyDescent="0.15">
      <c r="A74" s="61" t="s">
        <v>104</v>
      </c>
      <c r="B74" s="58">
        <v>0.58333333333333326</v>
      </c>
      <c r="F74" s="29"/>
    </row>
    <row r="75" spans="1:6" ht="13" x14ac:dyDescent="0.15">
      <c r="A75" s="60" t="s">
        <v>125</v>
      </c>
      <c r="B75" s="32">
        <v>0.44333333333333336</v>
      </c>
      <c r="F75" s="29"/>
    </row>
    <row r="76" spans="1:6" ht="13" x14ac:dyDescent="0.15">
      <c r="A76" s="61" t="s">
        <v>132</v>
      </c>
      <c r="B76" s="58">
        <v>0.41666666666666663</v>
      </c>
      <c r="F76" s="29"/>
    </row>
    <row r="77" spans="1:6" ht="13" x14ac:dyDescent="0.15">
      <c r="A77" s="60" t="s">
        <v>103</v>
      </c>
      <c r="B77" s="32">
        <v>0.36</v>
      </c>
      <c r="F77" s="29"/>
    </row>
    <row r="78" spans="1:6" ht="13" x14ac:dyDescent="0.15">
      <c r="A78" s="61" t="s">
        <v>127</v>
      </c>
      <c r="B78" s="58">
        <v>0.25</v>
      </c>
      <c r="F78" s="29"/>
    </row>
    <row r="79" spans="1:6" ht="13" x14ac:dyDescent="0.15">
      <c r="A79" s="60" t="s">
        <v>107</v>
      </c>
      <c r="B79" s="32">
        <v>0.25</v>
      </c>
      <c r="F79" s="29"/>
    </row>
    <row r="80" spans="1:6" ht="13" x14ac:dyDescent="0.15">
      <c r="A80" s="34" t="s">
        <v>55</v>
      </c>
      <c r="B80" s="35">
        <v>0.57977777777777773</v>
      </c>
      <c r="C80" s="42">
        <f>AVERAGE(B81:B95)</f>
        <v>0.57977777777777784</v>
      </c>
      <c r="F80" s="29"/>
    </row>
    <row r="81" spans="1:6" ht="13" x14ac:dyDescent="0.15">
      <c r="A81" s="60" t="s">
        <v>117</v>
      </c>
      <c r="B81" s="32">
        <v>1</v>
      </c>
      <c r="F81" s="29"/>
    </row>
    <row r="82" spans="1:6" ht="13" x14ac:dyDescent="0.15">
      <c r="A82" s="61" t="s">
        <v>128</v>
      </c>
      <c r="B82" s="58">
        <v>1</v>
      </c>
      <c r="F82" s="29"/>
    </row>
    <row r="83" spans="1:6" ht="13" x14ac:dyDescent="0.15">
      <c r="A83" s="60" t="s">
        <v>120</v>
      </c>
      <c r="B83" s="32">
        <v>0.91666666666666652</v>
      </c>
      <c r="F83" s="29"/>
    </row>
    <row r="84" spans="1:6" ht="13" x14ac:dyDescent="0.15">
      <c r="A84" s="61" t="s">
        <v>110</v>
      </c>
      <c r="B84" s="58">
        <v>0.80666666666666664</v>
      </c>
      <c r="F84" s="29"/>
    </row>
    <row r="85" spans="1:6" ht="13" x14ac:dyDescent="0.15">
      <c r="A85" s="60" t="s">
        <v>115</v>
      </c>
      <c r="B85" s="32">
        <v>0.75</v>
      </c>
      <c r="F85" s="29"/>
    </row>
    <row r="86" spans="1:6" ht="13" x14ac:dyDescent="0.15">
      <c r="A86" s="61" t="s">
        <v>118</v>
      </c>
      <c r="B86" s="58">
        <v>0.66666666666666663</v>
      </c>
      <c r="F86" s="29"/>
    </row>
    <row r="87" spans="1:6" ht="13" x14ac:dyDescent="0.15">
      <c r="A87" s="60" t="s">
        <v>109</v>
      </c>
      <c r="B87" s="32">
        <v>0.64</v>
      </c>
      <c r="F87" s="29"/>
    </row>
    <row r="88" spans="1:6" ht="13" x14ac:dyDescent="0.15">
      <c r="A88" s="61" t="s">
        <v>112</v>
      </c>
      <c r="B88" s="58">
        <v>0.58333333333333326</v>
      </c>
      <c r="F88" s="29"/>
    </row>
    <row r="89" spans="1:6" ht="13" x14ac:dyDescent="0.15">
      <c r="A89" s="60" t="s">
        <v>86</v>
      </c>
      <c r="B89" s="32">
        <v>0.55666666666666664</v>
      </c>
      <c r="F89" s="29"/>
    </row>
    <row r="90" spans="1:6" ht="13" x14ac:dyDescent="0.15">
      <c r="A90" s="61" t="s">
        <v>111</v>
      </c>
      <c r="B90" s="58">
        <v>0.5</v>
      </c>
      <c r="F90" s="29"/>
    </row>
    <row r="91" spans="1:6" ht="13" x14ac:dyDescent="0.15">
      <c r="A91" s="60" t="s">
        <v>113</v>
      </c>
      <c r="B91" s="32">
        <v>0.41666666666666663</v>
      </c>
      <c r="F91" s="29"/>
    </row>
    <row r="92" spans="1:6" ht="13" x14ac:dyDescent="0.15">
      <c r="A92" s="61" t="s">
        <v>119</v>
      </c>
      <c r="B92" s="58">
        <v>0.33333333333333331</v>
      </c>
      <c r="F92" s="29"/>
    </row>
    <row r="93" spans="1:6" ht="13" x14ac:dyDescent="0.15">
      <c r="A93" s="60" t="s">
        <v>124</v>
      </c>
      <c r="B93" s="32">
        <v>0.25</v>
      </c>
      <c r="F93" s="29"/>
    </row>
    <row r="94" spans="1:6" ht="13" x14ac:dyDescent="0.15">
      <c r="A94" s="61" t="s">
        <v>116</v>
      </c>
      <c r="B94" s="58">
        <v>0.19333333333333333</v>
      </c>
      <c r="F94" s="29"/>
    </row>
    <row r="95" spans="1:6" ht="13" x14ac:dyDescent="0.15">
      <c r="A95" s="38" t="s">
        <v>114</v>
      </c>
      <c r="B95" s="32">
        <v>8.3333333333333329E-2</v>
      </c>
      <c r="F95" s="29"/>
    </row>
    <row r="96" spans="1:6" ht="13" x14ac:dyDescent="0.15">
      <c r="A96" s="34" t="s">
        <v>75</v>
      </c>
      <c r="B96" s="35">
        <v>0.2688888888888889</v>
      </c>
      <c r="C96" s="42">
        <f>AVERAGE(B97:B99)</f>
        <v>0.2688888888888889</v>
      </c>
      <c r="F96" s="29"/>
    </row>
    <row r="97" spans="1:6" ht="13" x14ac:dyDescent="0.15">
      <c r="A97" s="60" t="s">
        <v>123</v>
      </c>
      <c r="B97" s="32">
        <v>0.41666666666666663</v>
      </c>
      <c r="F97" s="29"/>
    </row>
    <row r="98" spans="1:6" ht="13" x14ac:dyDescent="0.15">
      <c r="A98" s="61" t="s">
        <v>122</v>
      </c>
      <c r="B98" s="58">
        <v>0.30666666666666664</v>
      </c>
      <c r="F98" s="29"/>
    </row>
    <row r="99" spans="1:6" ht="13" x14ac:dyDescent="0.15">
      <c r="A99" s="60" t="s">
        <v>121</v>
      </c>
      <c r="B99" s="32">
        <v>8.3333333333333329E-2</v>
      </c>
      <c r="F99" s="29"/>
    </row>
    <row r="101" spans="1:6" x14ac:dyDescent="0.2">
      <c r="A101" s="29" t="s">
        <v>138</v>
      </c>
    </row>
    <row r="102" spans="1:6" ht="13" x14ac:dyDescent="0.15">
      <c r="F102" s="29"/>
    </row>
    <row r="103" spans="1:6" ht="29" thickBot="1" x14ac:dyDescent="0.2">
      <c r="A103" s="31" t="s">
        <v>1</v>
      </c>
      <c r="B103" s="133" t="s">
        <v>93</v>
      </c>
      <c r="F103" s="29"/>
    </row>
    <row r="104" spans="1:6" ht="13" x14ac:dyDescent="0.15">
      <c r="A104" s="36" t="s">
        <v>128</v>
      </c>
      <c r="B104" s="37">
        <v>1</v>
      </c>
      <c r="C104" s="42"/>
      <c r="F104" s="29"/>
    </row>
    <row r="105" spans="1:6" ht="13" x14ac:dyDescent="0.15">
      <c r="A105" s="36" t="s">
        <v>117</v>
      </c>
      <c r="B105" s="37">
        <v>1</v>
      </c>
      <c r="F105" s="29"/>
    </row>
    <row r="106" spans="1:6" ht="13" x14ac:dyDescent="0.15">
      <c r="A106" s="36" t="s">
        <v>105</v>
      </c>
      <c r="B106" s="37">
        <v>0.91666666666666652</v>
      </c>
      <c r="F106" s="29"/>
    </row>
    <row r="107" spans="1:6" ht="13" x14ac:dyDescent="0.15">
      <c r="A107" s="36" t="s">
        <v>120</v>
      </c>
      <c r="B107" s="37">
        <v>0.91666666666666652</v>
      </c>
      <c r="F107" s="29"/>
    </row>
    <row r="108" spans="1:6" ht="13" x14ac:dyDescent="0.15">
      <c r="A108" s="36" t="s">
        <v>126</v>
      </c>
      <c r="B108" s="37">
        <v>0.91666666666666652</v>
      </c>
      <c r="F108" s="29"/>
    </row>
    <row r="109" spans="1:6" ht="13" x14ac:dyDescent="0.15">
      <c r="A109" s="36" t="s">
        <v>110</v>
      </c>
      <c r="B109" s="37">
        <v>0.80666666666666664</v>
      </c>
      <c r="F109" s="29"/>
    </row>
    <row r="110" spans="1:6" ht="13" x14ac:dyDescent="0.15">
      <c r="A110" s="36" t="s">
        <v>115</v>
      </c>
      <c r="B110" s="37">
        <v>0.75</v>
      </c>
      <c r="F110" s="29"/>
    </row>
    <row r="111" spans="1:6" ht="13" x14ac:dyDescent="0.15">
      <c r="A111" s="36" t="s">
        <v>108</v>
      </c>
      <c r="B111" s="37">
        <v>0.72333333333333338</v>
      </c>
      <c r="F111" s="29"/>
    </row>
    <row r="112" spans="1:6" ht="13" x14ac:dyDescent="0.15">
      <c r="A112" s="36" t="s">
        <v>118</v>
      </c>
      <c r="B112" s="37">
        <v>0.66666666666666663</v>
      </c>
      <c r="F112" s="29"/>
    </row>
    <row r="113" spans="1:6" ht="13" x14ac:dyDescent="0.15">
      <c r="A113" s="36" t="s">
        <v>109</v>
      </c>
      <c r="B113" s="37">
        <v>0.64</v>
      </c>
      <c r="F113" s="29"/>
    </row>
    <row r="114" spans="1:6" ht="13" x14ac:dyDescent="0.15">
      <c r="A114" s="36" t="s">
        <v>112</v>
      </c>
      <c r="B114" s="37">
        <v>0.58333333333333326</v>
      </c>
      <c r="C114" s="42"/>
      <c r="F114" s="29"/>
    </row>
    <row r="115" spans="1:6" ht="13" x14ac:dyDescent="0.15">
      <c r="A115" s="36" t="s">
        <v>104</v>
      </c>
      <c r="B115" s="37">
        <v>0.58333333333333326</v>
      </c>
      <c r="F115" s="29"/>
    </row>
    <row r="116" spans="1:6" ht="13" x14ac:dyDescent="0.15">
      <c r="A116" s="36" t="s">
        <v>86</v>
      </c>
      <c r="B116" s="37">
        <v>0.55666666666666664</v>
      </c>
      <c r="F116" s="29"/>
    </row>
    <row r="117" spans="1:6" ht="13" x14ac:dyDescent="0.15">
      <c r="A117" s="36" t="s">
        <v>111</v>
      </c>
      <c r="B117" s="37">
        <v>0.5</v>
      </c>
      <c r="F117" s="29"/>
    </row>
    <row r="118" spans="1:6" ht="13" x14ac:dyDescent="0.15">
      <c r="A118" s="36" t="s">
        <v>125</v>
      </c>
      <c r="B118" s="37">
        <v>0.44333333333333336</v>
      </c>
      <c r="F118" s="29"/>
    </row>
    <row r="119" spans="1:6" ht="13" x14ac:dyDescent="0.15">
      <c r="A119" s="36" t="s">
        <v>113</v>
      </c>
      <c r="B119" s="37">
        <v>0.41666666666666663</v>
      </c>
      <c r="F119" s="29"/>
    </row>
    <row r="120" spans="1:6" ht="13" x14ac:dyDescent="0.15">
      <c r="A120" s="36" t="s">
        <v>123</v>
      </c>
      <c r="B120" s="37">
        <v>0.41666666666666663</v>
      </c>
      <c r="F120" s="29"/>
    </row>
    <row r="121" spans="1:6" ht="13" x14ac:dyDescent="0.15">
      <c r="A121" s="36" t="s">
        <v>132</v>
      </c>
      <c r="B121" s="37">
        <v>0.41666666666666663</v>
      </c>
      <c r="F121" s="29"/>
    </row>
    <row r="122" spans="1:6" ht="13" x14ac:dyDescent="0.15">
      <c r="A122" s="36" t="s">
        <v>103</v>
      </c>
      <c r="B122" s="37">
        <v>0.36</v>
      </c>
      <c r="F122" s="29"/>
    </row>
    <row r="123" spans="1:6" ht="13" x14ac:dyDescent="0.15">
      <c r="A123" s="36" t="s">
        <v>119</v>
      </c>
      <c r="B123" s="37">
        <v>0.33333333333333331</v>
      </c>
      <c r="F123" s="29"/>
    </row>
    <row r="124" spans="1:6" ht="13" x14ac:dyDescent="0.15">
      <c r="A124" s="36" t="s">
        <v>122</v>
      </c>
      <c r="B124" s="37">
        <v>0.30666666666666664</v>
      </c>
      <c r="F124" s="29"/>
    </row>
    <row r="125" spans="1:6" ht="13" x14ac:dyDescent="0.15">
      <c r="A125" s="36" t="s">
        <v>127</v>
      </c>
      <c r="B125" s="37">
        <v>0.25</v>
      </c>
      <c r="F125" s="29"/>
    </row>
    <row r="126" spans="1:6" ht="13" x14ac:dyDescent="0.15">
      <c r="A126" s="36" t="s">
        <v>124</v>
      </c>
      <c r="B126" s="37">
        <v>0.25</v>
      </c>
      <c r="F126" s="29"/>
    </row>
    <row r="127" spans="1:6" ht="13" x14ac:dyDescent="0.15">
      <c r="A127" s="36" t="s">
        <v>107</v>
      </c>
      <c r="B127" s="37">
        <v>0.25</v>
      </c>
      <c r="F127" s="29"/>
    </row>
    <row r="128" spans="1:6" ht="13" x14ac:dyDescent="0.15">
      <c r="A128" s="36" t="s">
        <v>116</v>
      </c>
      <c r="B128" s="37">
        <v>0.19333333333333333</v>
      </c>
      <c r="F128" s="29"/>
    </row>
    <row r="129" spans="1:6" ht="13" x14ac:dyDescent="0.15">
      <c r="A129" s="36" t="s">
        <v>114</v>
      </c>
      <c r="B129" s="37">
        <v>8.3333333333333329E-2</v>
      </c>
      <c r="F129" s="29"/>
    </row>
    <row r="130" spans="1:6" ht="13" x14ac:dyDescent="0.15">
      <c r="A130" s="36" t="s">
        <v>121</v>
      </c>
      <c r="B130" s="37">
        <v>8.3333333333333329E-2</v>
      </c>
      <c r="C130" s="42"/>
      <c r="F130" s="29"/>
    </row>
    <row r="131" spans="1:6" x14ac:dyDescent="0.2">
      <c r="A131" s="36"/>
      <c r="B131" s="37"/>
    </row>
    <row r="132" spans="1:6" x14ac:dyDescent="0.2">
      <c r="A132" s="36"/>
      <c r="B132" s="37"/>
    </row>
    <row r="133" spans="1:6" x14ac:dyDescent="0.2">
      <c r="A133" s="36"/>
      <c r="B133" s="37"/>
    </row>
    <row r="135" spans="1:6" x14ac:dyDescent="0.2">
      <c r="A135" s="29" t="s">
        <v>102</v>
      </c>
    </row>
    <row r="137" spans="1:6" x14ac:dyDescent="0.2">
      <c r="B137" s="136" t="s">
        <v>146</v>
      </c>
      <c r="C137" s="137" t="s">
        <v>147</v>
      </c>
      <c r="D137" s="137"/>
    </row>
    <row r="138" spans="1:6" x14ac:dyDescent="0.2">
      <c r="B138" s="132">
        <v>0.875</v>
      </c>
      <c r="C138" s="43">
        <v>0.36</v>
      </c>
      <c r="D138" s="42"/>
    </row>
    <row r="139" spans="1:6" x14ac:dyDescent="0.2">
      <c r="B139" s="132">
        <v>0.875</v>
      </c>
      <c r="C139" s="43">
        <v>0.41666666666666663</v>
      </c>
      <c r="D139" s="42"/>
    </row>
    <row r="140" spans="1:6" x14ac:dyDescent="0.2">
      <c r="B140" s="132">
        <v>0.75</v>
      </c>
      <c r="C140" s="43">
        <v>0.25</v>
      </c>
      <c r="D140" s="42"/>
    </row>
    <row r="141" spans="1:6" x14ac:dyDescent="0.2">
      <c r="B141" s="132">
        <v>0.6875</v>
      </c>
      <c r="C141" s="43">
        <v>0.72333333333333338</v>
      </c>
      <c r="D141" s="42"/>
    </row>
    <row r="142" spans="1:6" x14ac:dyDescent="0.2">
      <c r="B142" s="132">
        <v>0.6875</v>
      </c>
      <c r="C142" s="43">
        <v>0.91666666666666652</v>
      </c>
      <c r="D142" s="42"/>
    </row>
    <row r="143" spans="1:6" x14ac:dyDescent="0.2">
      <c r="B143" s="132">
        <v>0.875</v>
      </c>
      <c r="C143" s="43">
        <v>0.58333333333333326</v>
      </c>
      <c r="D143" s="42"/>
    </row>
    <row r="144" spans="1:6" x14ac:dyDescent="0.2">
      <c r="B144" s="132">
        <v>0.75</v>
      </c>
      <c r="C144" s="43">
        <v>0.44333333333333336</v>
      </c>
      <c r="D144" s="42"/>
    </row>
    <row r="145" spans="2:4" x14ac:dyDescent="0.2">
      <c r="B145" s="132">
        <v>1</v>
      </c>
      <c r="C145" s="43">
        <v>0.91666666666666652</v>
      </c>
      <c r="D145" s="42"/>
    </row>
    <row r="146" spans="2:4" x14ac:dyDescent="0.2">
      <c r="B146" s="132">
        <v>0.6875</v>
      </c>
      <c r="C146" s="43">
        <v>0.25</v>
      </c>
      <c r="D146" s="42"/>
    </row>
    <row r="147" spans="2:4" x14ac:dyDescent="0.2">
      <c r="B147" s="132">
        <v>0.8125</v>
      </c>
      <c r="C147" s="43">
        <v>0.91666666666666652</v>
      </c>
      <c r="D147" s="42"/>
    </row>
    <row r="148" spans="2:4" x14ac:dyDescent="0.2">
      <c r="B148" s="132">
        <v>0.5625</v>
      </c>
      <c r="C148" s="43">
        <v>0.5</v>
      </c>
      <c r="D148" s="42"/>
    </row>
    <row r="149" spans="2:4" x14ac:dyDescent="0.2">
      <c r="B149" s="132">
        <v>0.75</v>
      </c>
      <c r="C149" s="43">
        <v>1</v>
      </c>
      <c r="D149" s="42"/>
    </row>
    <row r="150" spans="2:4" x14ac:dyDescent="0.2">
      <c r="B150" s="132">
        <v>1</v>
      </c>
      <c r="C150" s="43">
        <v>0.80666666666666664</v>
      </c>
      <c r="D150" s="42"/>
    </row>
    <row r="151" spans="2:4" x14ac:dyDescent="0.2">
      <c r="B151" s="132">
        <v>0.9375</v>
      </c>
      <c r="C151" s="43">
        <v>0.41666666666666663</v>
      </c>
      <c r="D151" s="42"/>
    </row>
    <row r="152" spans="2:4" x14ac:dyDescent="0.2">
      <c r="B152" s="132">
        <v>0.9375</v>
      </c>
      <c r="C152" s="43">
        <v>0.33333333333333331</v>
      </c>
      <c r="D152" s="42"/>
    </row>
    <row r="153" spans="2:4" x14ac:dyDescent="0.2">
      <c r="B153" s="132">
        <v>0.6875</v>
      </c>
      <c r="C153" s="43">
        <v>0.25</v>
      </c>
      <c r="D153" s="42"/>
    </row>
    <row r="154" spans="2:4" x14ac:dyDescent="0.2">
      <c r="B154" s="132">
        <v>0.5</v>
      </c>
      <c r="C154" s="43">
        <v>8.3333333333333329E-2</v>
      </c>
      <c r="D154" s="42"/>
    </row>
    <row r="155" spans="2:4" x14ac:dyDescent="0.2">
      <c r="B155" s="132">
        <v>0.75</v>
      </c>
      <c r="C155" s="43">
        <v>0.55666666666666664</v>
      </c>
      <c r="D155" s="42"/>
    </row>
    <row r="156" spans="2:4" x14ac:dyDescent="0.2">
      <c r="B156" s="132">
        <v>1</v>
      </c>
      <c r="C156" s="43">
        <v>0.58333333333333326</v>
      </c>
      <c r="D156" s="42"/>
    </row>
    <row r="157" spans="2:4" x14ac:dyDescent="0.2">
      <c r="B157" s="132">
        <v>0.6875</v>
      </c>
      <c r="C157" s="43">
        <v>0.75</v>
      </c>
      <c r="D157" s="42"/>
    </row>
    <row r="158" spans="2:4" x14ac:dyDescent="0.2">
      <c r="B158" s="132">
        <v>1</v>
      </c>
      <c r="C158" s="43">
        <v>1</v>
      </c>
      <c r="D158" s="42"/>
    </row>
    <row r="159" spans="2:4" x14ac:dyDescent="0.2">
      <c r="B159" s="132">
        <v>0.875</v>
      </c>
      <c r="C159" s="43">
        <v>0.66666666666666663</v>
      </c>
      <c r="D159" s="42"/>
    </row>
    <row r="160" spans="2:4" x14ac:dyDescent="0.2">
      <c r="B160" s="132">
        <v>1</v>
      </c>
      <c r="C160" s="43">
        <v>0.64</v>
      </c>
      <c r="D160" s="42"/>
    </row>
    <row r="161" spans="2:4" x14ac:dyDescent="0.2">
      <c r="B161" s="132">
        <v>0.75</v>
      </c>
      <c r="C161" s="43">
        <v>0.19333333333333333</v>
      </c>
      <c r="D161" s="42"/>
    </row>
    <row r="162" spans="2:4" x14ac:dyDescent="0.2">
      <c r="B162" s="132">
        <v>0.6875</v>
      </c>
      <c r="C162" s="43">
        <v>8.3333333333333329E-2</v>
      </c>
      <c r="D162" s="42"/>
    </row>
    <row r="163" spans="2:4" x14ac:dyDescent="0.2">
      <c r="B163" s="132">
        <v>0.5</v>
      </c>
      <c r="C163" s="43">
        <v>0.30666666666666664</v>
      </c>
      <c r="D163" s="42"/>
    </row>
    <row r="164" spans="2:4" x14ac:dyDescent="0.2">
      <c r="B164" s="132">
        <v>0.75</v>
      </c>
      <c r="C164" s="43">
        <v>0.41666666666666663</v>
      </c>
      <c r="D164" s="42"/>
    </row>
  </sheetData>
  <sortState xmlns:xlrd2="http://schemas.microsoft.com/office/spreadsheetml/2017/richdata2" ref="A38:B64">
    <sortCondition descending="1" ref="B38:B64"/>
  </sortState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EE1A5-9158-4956-BC9C-A58F1E8795AA}">
  <dimension ref="A2:F164"/>
  <sheetViews>
    <sheetView showGridLines="0" topLeftCell="A40" zoomScale="70" zoomScaleNormal="70" workbookViewId="0">
      <selection activeCell="I57" sqref="I57"/>
    </sheetView>
  </sheetViews>
  <sheetFormatPr baseColWidth="10" defaultColWidth="11.33203125" defaultRowHeight="15" x14ac:dyDescent="0.2"/>
  <cols>
    <col min="1" max="1" width="47.83203125" style="29" customWidth="1"/>
    <col min="2" max="2" width="18.6640625" style="30" customWidth="1"/>
    <col min="3" max="3" width="13.1640625" style="29" customWidth="1"/>
    <col min="4" max="4" width="16.1640625" style="29" customWidth="1"/>
    <col min="5" max="5" width="11.33203125" style="29"/>
    <col min="6" max="6" width="11" customWidth="1"/>
    <col min="7" max="16384" width="11.33203125" style="29"/>
  </cols>
  <sheetData>
    <row r="2" spans="1:6" ht="13" x14ac:dyDescent="0.15">
      <c r="A2" s="41" t="s">
        <v>139</v>
      </c>
      <c r="F2" s="29"/>
    </row>
    <row r="4" spans="1:6" ht="26.25" customHeight="1" thickBot="1" x14ac:dyDescent="0.2">
      <c r="A4" s="57" t="s">
        <v>94</v>
      </c>
      <c r="B4" s="31" t="s">
        <v>93</v>
      </c>
      <c r="F4" s="29"/>
    </row>
    <row r="5" spans="1:6" ht="13" x14ac:dyDescent="0.15">
      <c r="A5" s="34" t="s">
        <v>53</v>
      </c>
      <c r="B5" s="141">
        <v>0.85185185185185186</v>
      </c>
      <c r="C5" s="42">
        <f>AVERAGE(B6:B14)</f>
        <v>0.85185185185185197</v>
      </c>
      <c r="F5" s="29"/>
    </row>
    <row r="6" spans="1:6" ht="13" x14ac:dyDescent="0.15">
      <c r="A6" s="55" t="s">
        <v>125</v>
      </c>
      <c r="B6" s="32">
        <v>1</v>
      </c>
      <c r="F6" s="29"/>
    </row>
    <row r="7" spans="1:6" ht="13" x14ac:dyDescent="0.15">
      <c r="A7" s="56" t="s">
        <v>104</v>
      </c>
      <c r="B7" s="33">
        <v>1</v>
      </c>
      <c r="F7" s="29"/>
    </row>
    <row r="8" spans="1:6" ht="13" x14ac:dyDescent="0.15">
      <c r="A8" s="55" t="s">
        <v>105</v>
      </c>
      <c r="B8" s="32">
        <v>1</v>
      </c>
      <c r="F8" s="29"/>
    </row>
    <row r="9" spans="1:6" ht="13" x14ac:dyDescent="0.15">
      <c r="A9" s="56" t="s">
        <v>132</v>
      </c>
      <c r="B9" s="33">
        <v>1</v>
      </c>
      <c r="F9" s="29"/>
    </row>
    <row r="10" spans="1:6" ht="13" x14ac:dyDescent="0.15">
      <c r="A10" s="55" t="s">
        <v>126</v>
      </c>
      <c r="B10" s="32">
        <v>1</v>
      </c>
      <c r="F10" s="29"/>
    </row>
    <row r="11" spans="1:6" ht="13" x14ac:dyDescent="0.15">
      <c r="A11" s="56" t="s">
        <v>127</v>
      </c>
      <c r="B11" s="33">
        <v>0.66666666666666663</v>
      </c>
      <c r="F11" s="29"/>
    </row>
    <row r="12" spans="1:6" ht="13" x14ac:dyDescent="0.15">
      <c r="A12" s="55" t="s">
        <v>103</v>
      </c>
      <c r="B12" s="32">
        <v>0.66666666666666663</v>
      </c>
      <c r="F12" s="29"/>
    </row>
    <row r="13" spans="1:6" ht="13" x14ac:dyDescent="0.15">
      <c r="A13" s="56" t="s">
        <v>107</v>
      </c>
      <c r="B13" s="33">
        <v>0.66666666666666663</v>
      </c>
      <c r="F13" s="29"/>
    </row>
    <row r="14" spans="1:6" ht="13" x14ac:dyDescent="0.15">
      <c r="A14" s="55" t="s">
        <v>108</v>
      </c>
      <c r="B14" s="32">
        <v>0.66666666666666663</v>
      </c>
      <c r="F14" s="29"/>
    </row>
    <row r="15" spans="1:6" ht="13" x14ac:dyDescent="0.15">
      <c r="A15" s="34" t="s">
        <v>55</v>
      </c>
      <c r="B15" s="140">
        <v>0.7777777777777779</v>
      </c>
      <c r="C15" s="42">
        <f>AVERAGE(B16:B30)</f>
        <v>0.7777777777777779</v>
      </c>
      <c r="F15" s="29"/>
    </row>
    <row r="16" spans="1:6" ht="13" x14ac:dyDescent="0.15">
      <c r="A16" s="55" t="s">
        <v>115</v>
      </c>
      <c r="B16" s="32">
        <v>1</v>
      </c>
      <c r="F16" s="29"/>
    </row>
    <row r="17" spans="1:6" ht="13" x14ac:dyDescent="0.15">
      <c r="A17" s="56" t="s">
        <v>120</v>
      </c>
      <c r="B17" s="33">
        <v>1</v>
      </c>
      <c r="F17" s="29"/>
    </row>
    <row r="18" spans="1:6" ht="13" x14ac:dyDescent="0.15">
      <c r="A18" s="55" t="s">
        <v>118</v>
      </c>
      <c r="B18" s="32">
        <v>1</v>
      </c>
      <c r="F18" s="29"/>
    </row>
    <row r="19" spans="1:6" ht="13" x14ac:dyDescent="0.15">
      <c r="A19" s="56" t="s">
        <v>111</v>
      </c>
      <c r="B19" s="33">
        <v>1</v>
      </c>
      <c r="F19" s="29"/>
    </row>
    <row r="20" spans="1:6" ht="13" x14ac:dyDescent="0.15">
      <c r="A20" s="55" t="s">
        <v>112</v>
      </c>
      <c r="B20" s="32">
        <v>1</v>
      </c>
      <c r="F20" s="29"/>
    </row>
    <row r="21" spans="1:6" ht="13" x14ac:dyDescent="0.15">
      <c r="A21" s="56" t="s">
        <v>128</v>
      </c>
      <c r="B21" s="33">
        <v>1</v>
      </c>
      <c r="F21" s="29"/>
    </row>
    <row r="22" spans="1:6" ht="13" x14ac:dyDescent="0.15">
      <c r="A22" s="55" t="s">
        <v>117</v>
      </c>
      <c r="B22" s="32">
        <v>1</v>
      </c>
      <c r="F22" s="29"/>
    </row>
    <row r="23" spans="1:6" ht="13" x14ac:dyDescent="0.15">
      <c r="A23" s="56" t="s">
        <v>119</v>
      </c>
      <c r="B23" s="33">
        <v>1</v>
      </c>
      <c r="F23" s="29"/>
    </row>
    <row r="24" spans="1:6" ht="13" x14ac:dyDescent="0.15">
      <c r="A24" s="55" t="s">
        <v>116</v>
      </c>
      <c r="B24" s="32">
        <v>1</v>
      </c>
      <c r="F24" s="29"/>
    </row>
    <row r="25" spans="1:6" ht="13" x14ac:dyDescent="0.15">
      <c r="A25" s="56" t="s">
        <v>124</v>
      </c>
      <c r="B25" s="33">
        <v>1</v>
      </c>
      <c r="F25" s="29"/>
    </row>
    <row r="26" spans="1:6" ht="13" x14ac:dyDescent="0.15">
      <c r="A26" s="55" t="s">
        <v>86</v>
      </c>
      <c r="B26" s="32">
        <v>0.66666666666666674</v>
      </c>
      <c r="F26" s="29"/>
    </row>
    <row r="27" spans="1:6" ht="13" x14ac:dyDescent="0.15">
      <c r="A27" s="56" t="s">
        <v>110</v>
      </c>
      <c r="B27" s="33">
        <v>0.33333333333333331</v>
      </c>
      <c r="F27" s="29"/>
    </row>
    <row r="28" spans="1:6" ht="13" x14ac:dyDescent="0.15">
      <c r="A28" s="55" t="s">
        <v>109</v>
      </c>
      <c r="B28" s="32">
        <v>0.33333333333333331</v>
      </c>
      <c r="F28" s="29"/>
    </row>
    <row r="29" spans="1:6" ht="13" x14ac:dyDescent="0.15">
      <c r="A29" s="56" t="s">
        <v>113</v>
      </c>
      <c r="B29" s="33">
        <v>0.33333333333333331</v>
      </c>
      <c r="F29" s="29"/>
    </row>
    <row r="30" spans="1:6" ht="13" x14ac:dyDescent="0.15">
      <c r="A30" s="55" t="s">
        <v>114</v>
      </c>
      <c r="B30" s="32">
        <v>0</v>
      </c>
      <c r="F30" s="29"/>
    </row>
    <row r="31" spans="1:6" ht="13" x14ac:dyDescent="0.15">
      <c r="A31" s="34" t="s">
        <v>75</v>
      </c>
      <c r="B31" s="142">
        <v>0.55555555555555569</v>
      </c>
      <c r="C31" s="42">
        <f>AVERAGE(B32:B34)</f>
        <v>0.55555555555555569</v>
      </c>
      <c r="F31" s="29"/>
    </row>
    <row r="32" spans="1:6" ht="13" x14ac:dyDescent="0.15">
      <c r="A32" s="55" t="s">
        <v>121</v>
      </c>
      <c r="B32" s="32">
        <v>0.66666666666666674</v>
      </c>
      <c r="F32" s="29"/>
    </row>
    <row r="33" spans="1:6" ht="13" x14ac:dyDescent="0.15">
      <c r="A33" s="56" t="s">
        <v>122</v>
      </c>
      <c r="B33" s="33">
        <v>0.66666666666666663</v>
      </c>
      <c r="F33" s="29"/>
    </row>
    <row r="34" spans="1:6" ht="13" x14ac:dyDescent="0.15">
      <c r="A34" s="55" t="s">
        <v>123</v>
      </c>
      <c r="B34" s="32">
        <v>0.33333333333333337</v>
      </c>
      <c r="F34" s="29"/>
    </row>
    <row r="36" spans="1:6" ht="13" x14ac:dyDescent="0.15">
      <c r="A36" s="29" t="s">
        <v>142</v>
      </c>
      <c r="F36" s="29"/>
    </row>
    <row r="37" spans="1:6" ht="56" x14ac:dyDescent="0.15">
      <c r="A37" s="40" t="s">
        <v>1</v>
      </c>
      <c r="B37" s="40" t="s">
        <v>140</v>
      </c>
      <c r="F37" s="29"/>
    </row>
    <row r="38" spans="1:6" ht="13" x14ac:dyDescent="0.15">
      <c r="A38" s="36" t="s">
        <v>124</v>
      </c>
      <c r="B38" s="138">
        <v>1</v>
      </c>
      <c r="F38" s="29"/>
    </row>
    <row r="39" spans="1:6" ht="13" x14ac:dyDescent="0.15">
      <c r="A39" s="36" t="s">
        <v>105</v>
      </c>
      <c r="B39" s="138">
        <v>1</v>
      </c>
      <c r="F39" s="29"/>
    </row>
    <row r="40" spans="1:6" ht="13" x14ac:dyDescent="0.15">
      <c r="A40" s="36" t="s">
        <v>112</v>
      </c>
      <c r="B40" s="138">
        <v>1</v>
      </c>
      <c r="F40" s="29"/>
    </row>
    <row r="41" spans="1:6" ht="13" x14ac:dyDescent="0.15">
      <c r="A41" s="36" t="s">
        <v>120</v>
      </c>
      <c r="B41" s="138">
        <v>1</v>
      </c>
      <c r="F41" s="29"/>
    </row>
    <row r="42" spans="1:6" ht="13" x14ac:dyDescent="0.15">
      <c r="A42" s="36" t="s">
        <v>118</v>
      </c>
      <c r="B42" s="138">
        <v>1</v>
      </c>
      <c r="F42" s="29"/>
    </row>
    <row r="43" spans="1:6" ht="13" x14ac:dyDescent="0.15">
      <c r="A43" s="36" t="s">
        <v>132</v>
      </c>
      <c r="B43" s="138">
        <v>1</v>
      </c>
      <c r="F43" s="29"/>
    </row>
    <row r="44" spans="1:6" ht="13" x14ac:dyDescent="0.15">
      <c r="A44" s="36" t="s">
        <v>125</v>
      </c>
      <c r="B44" s="138">
        <v>1</v>
      </c>
      <c r="F44" s="29"/>
    </row>
    <row r="45" spans="1:6" ht="13" x14ac:dyDescent="0.15">
      <c r="A45" s="36" t="s">
        <v>111</v>
      </c>
      <c r="B45" s="138">
        <v>1</v>
      </c>
      <c r="F45" s="29"/>
    </row>
    <row r="46" spans="1:6" ht="13" x14ac:dyDescent="0.15">
      <c r="A46" s="36" t="s">
        <v>115</v>
      </c>
      <c r="B46" s="138">
        <v>1</v>
      </c>
      <c r="F46" s="29"/>
    </row>
    <row r="47" spans="1:6" ht="13" x14ac:dyDescent="0.15">
      <c r="A47" s="36" t="s">
        <v>128</v>
      </c>
      <c r="B47" s="138">
        <v>1</v>
      </c>
      <c r="F47" s="29"/>
    </row>
    <row r="48" spans="1:6" ht="13" x14ac:dyDescent="0.15">
      <c r="A48" s="36" t="s">
        <v>117</v>
      </c>
      <c r="B48" s="138">
        <v>1</v>
      </c>
      <c r="F48" s="29"/>
    </row>
    <row r="49" spans="1:6" ht="13" x14ac:dyDescent="0.15">
      <c r="A49" s="36" t="s">
        <v>119</v>
      </c>
      <c r="B49" s="138">
        <v>1</v>
      </c>
      <c r="F49" s="29"/>
    </row>
    <row r="50" spans="1:6" ht="13" x14ac:dyDescent="0.15">
      <c r="A50" s="36" t="s">
        <v>116</v>
      </c>
      <c r="B50" s="138">
        <v>1</v>
      </c>
      <c r="F50" s="29"/>
    </row>
    <row r="51" spans="1:6" ht="13" x14ac:dyDescent="0.15">
      <c r="A51" s="36" t="s">
        <v>126</v>
      </c>
      <c r="B51" s="138">
        <v>1</v>
      </c>
      <c r="F51" s="29"/>
    </row>
    <row r="52" spans="1:6" ht="13" x14ac:dyDescent="0.15">
      <c r="A52" s="36" t="s">
        <v>104</v>
      </c>
      <c r="B52" s="138">
        <v>1</v>
      </c>
      <c r="F52" s="29"/>
    </row>
    <row r="53" spans="1:6" ht="13" x14ac:dyDescent="0.15">
      <c r="A53" s="36" t="s">
        <v>121</v>
      </c>
      <c r="B53" s="138">
        <v>0.66666666666666674</v>
      </c>
      <c r="F53" s="29"/>
    </row>
    <row r="54" spans="1:6" ht="13" x14ac:dyDescent="0.15">
      <c r="A54" s="36" t="s">
        <v>86</v>
      </c>
      <c r="B54" s="138">
        <v>0.66666666666666674</v>
      </c>
      <c r="F54" s="29"/>
    </row>
    <row r="55" spans="1:6" ht="13" x14ac:dyDescent="0.15">
      <c r="A55" s="36" t="s">
        <v>107</v>
      </c>
      <c r="B55" s="138">
        <v>0.66666666666666663</v>
      </c>
      <c r="F55" s="29"/>
    </row>
    <row r="56" spans="1:6" ht="13" x14ac:dyDescent="0.15">
      <c r="A56" s="36" t="s">
        <v>108</v>
      </c>
      <c r="B56" s="138">
        <v>0.66666666666666663</v>
      </c>
      <c r="F56" s="29"/>
    </row>
    <row r="57" spans="1:6" ht="13" x14ac:dyDescent="0.15">
      <c r="A57" s="36" t="s">
        <v>127</v>
      </c>
      <c r="B57" s="138">
        <v>0.66666666666666663</v>
      </c>
      <c r="F57" s="29"/>
    </row>
    <row r="58" spans="1:6" ht="13" x14ac:dyDescent="0.15">
      <c r="A58" s="36" t="s">
        <v>103</v>
      </c>
      <c r="B58" s="138">
        <v>0.66666666666666663</v>
      </c>
      <c r="F58" s="29"/>
    </row>
    <row r="59" spans="1:6" ht="13" x14ac:dyDescent="0.15">
      <c r="A59" s="36" t="s">
        <v>122</v>
      </c>
      <c r="B59" s="138">
        <v>0.66666666666666663</v>
      </c>
      <c r="F59" s="29"/>
    </row>
    <row r="60" spans="1:6" ht="13" x14ac:dyDescent="0.15">
      <c r="A60" s="36" t="s">
        <v>123</v>
      </c>
      <c r="B60" s="138">
        <v>0.33333333333333337</v>
      </c>
      <c r="F60" s="29"/>
    </row>
    <row r="61" spans="1:6" ht="13" x14ac:dyDescent="0.15">
      <c r="A61" s="36" t="s">
        <v>110</v>
      </c>
      <c r="B61" s="138">
        <v>0.33333333333333331</v>
      </c>
      <c r="F61" s="29"/>
    </row>
    <row r="62" spans="1:6" ht="13" x14ac:dyDescent="0.15">
      <c r="A62" s="36" t="s">
        <v>109</v>
      </c>
      <c r="B62" s="138">
        <v>0.33333333333333331</v>
      </c>
      <c r="F62" s="29"/>
    </row>
    <row r="63" spans="1:6" ht="13" x14ac:dyDescent="0.15">
      <c r="A63" s="36" t="s">
        <v>113</v>
      </c>
      <c r="B63" s="138">
        <v>0.33333333333333331</v>
      </c>
      <c r="F63" s="29"/>
    </row>
    <row r="64" spans="1:6" ht="13" x14ac:dyDescent="0.15">
      <c r="A64" s="36" t="s">
        <v>114</v>
      </c>
      <c r="B64" s="138">
        <v>0</v>
      </c>
      <c r="F64" s="29"/>
    </row>
    <row r="65" spans="1:6" ht="13" x14ac:dyDescent="0.15">
      <c r="A65" s="38"/>
      <c r="B65" s="32"/>
      <c r="F65" s="29"/>
    </row>
    <row r="66" spans="1:6" ht="13" x14ac:dyDescent="0.15">
      <c r="A66" s="38"/>
      <c r="B66" s="32"/>
      <c r="F66" s="29"/>
    </row>
    <row r="67" spans="1:6" ht="13" x14ac:dyDescent="0.15">
      <c r="A67" s="41" t="s">
        <v>141</v>
      </c>
      <c r="B67" s="32"/>
      <c r="F67" s="29"/>
    </row>
    <row r="69" spans="1:6" ht="29" thickBot="1" x14ac:dyDescent="0.2">
      <c r="A69" s="31" t="s">
        <v>1</v>
      </c>
      <c r="B69" s="31" t="s">
        <v>93</v>
      </c>
      <c r="F69" s="29"/>
    </row>
    <row r="70" spans="1:6" ht="13" x14ac:dyDescent="0.15">
      <c r="A70" s="34" t="s">
        <v>53</v>
      </c>
      <c r="B70" s="139">
        <v>0.67518518518518511</v>
      </c>
      <c r="C70" s="42">
        <f>AVERAGE(B71:B79)</f>
        <v>0.67518518518518522</v>
      </c>
      <c r="F70" s="29"/>
    </row>
    <row r="71" spans="1:6" ht="13" x14ac:dyDescent="0.15">
      <c r="A71" s="60" t="s">
        <v>103</v>
      </c>
      <c r="B71" s="32">
        <v>0.88083333333333325</v>
      </c>
      <c r="F71" s="29"/>
    </row>
    <row r="72" spans="1:6" ht="13" x14ac:dyDescent="0.15">
      <c r="A72" s="61" t="s">
        <v>105</v>
      </c>
      <c r="B72" s="58">
        <v>0.81833333333333325</v>
      </c>
      <c r="F72" s="29"/>
    </row>
    <row r="73" spans="1:6" ht="13" x14ac:dyDescent="0.15">
      <c r="A73" s="60" t="s">
        <v>104</v>
      </c>
      <c r="B73" s="32">
        <v>0.72166666666666668</v>
      </c>
      <c r="F73" s="29"/>
    </row>
    <row r="74" spans="1:6" ht="13" x14ac:dyDescent="0.15">
      <c r="A74" s="61" t="s">
        <v>127</v>
      </c>
      <c r="B74" s="58">
        <v>0.68749999999999989</v>
      </c>
      <c r="F74" s="29"/>
    </row>
    <row r="75" spans="1:6" ht="13" x14ac:dyDescent="0.15">
      <c r="A75" s="60" t="s">
        <v>125</v>
      </c>
      <c r="B75" s="32">
        <v>0.63833333333333331</v>
      </c>
      <c r="F75" s="29"/>
    </row>
    <row r="76" spans="1:6" ht="13" x14ac:dyDescent="0.15">
      <c r="A76" s="61" t="s">
        <v>132</v>
      </c>
      <c r="B76" s="58">
        <v>0.63833333333333331</v>
      </c>
      <c r="F76" s="29"/>
    </row>
    <row r="77" spans="1:6" ht="13" x14ac:dyDescent="0.15">
      <c r="A77" s="60" t="s">
        <v>107</v>
      </c>
      <c r="B77" s="32">
        <v>0.57583333333333331</v>
      </c>
      <c r="F77" s="29"/>
    </row>
    <row r="78" spans="1:6" ht="13" x14ac:dyDescent="0.15">
      <c r="A78" s="61" t="s">
        <v>108</v>
      </c>
      <c r="B78" s="58">
        <v>0.56833333333333336</v>
      </c>
      <c r="F78" s="29"/>
    </row>
    <row r="79" spans="1:6" ht="13" x14ac:dyDescent="0.15">
      <c r="A79" s="60" t="s">
        <v>126</v>
      </c>
      <c r="B79" s="32">
        <v>0.54749999999999999</v>
      </c>
      <c r="F79" s="29"/>
    </row>
    <row r="80" spans="1:6" ht="13" x14ac:dyDescent="0.15">
      <c r="A80" s="34" t="s">
        <v>55</v>
      </c>
      <c r="B80" s="35">
        <v>0.65075925925925915</v>
      </c>
      <c r="C80" s="42">
        <f>AVERAGE(B81:B95)</f>
        <v>0.65075925925925937</v>
      </c>
      <c r="F80" s="29"/>
    </row>
    <row r="81" spans="1:6" ht="13" x14ac:dyDescent="0.15">
      <c r="A81" s="60" t="s">
        <v>117</v>
      </c>
      <c r="B81" s="32">
        <v>0.81833333333333325</v>
      </c>
      <c r="F81" s="29"/>
    </row>
    <row r="82" spans="1:6" ht="13" x14ac:dyDescent="0.15">
      <c r="A82" s="61" t="s">
        <v>128</v>
      </c>
      <c r="B82" s="58">
        <v>0.79</v>
      </c>
      <c r="F82" s="29"/>
    </row>
    <row r="83" spans="1:6" ht="13" x14ac:dyDescent="0.15">
      <c r="A83" s="60" t="s">
        <v>120</v>
      </c>
      <c r="B83" s="32">
        <v>0.77666666666666673</v>
      </c>
      <c r="F83" s="29"/>
    </row>
    <row r="84" spans="1:6" ht="13" x14ac:dyDescent="0.15">
      <c r="A84" s="61" t="s">
        <v>119</v>
      </c>
      <c r="B84" s="58">
        <v>0.75583333333333325</v>
      </c>
      <c r="F84" s="29"/>
    </row>
    <row r="85" spans="1:6" ht="13" x14ac:dyDescent="0.15">
      <c r="A85" s="60" t="s">
        <v>112</v>
      </c>
      <c r="B85" s="32">
        <v>0.74250000000000005</v>
      </c>
      <c r="F85" s="29"/>
    </row>
    <row r="86" spans="1:6" ht="13" x14ac:dyDescent="0.15">
      <c r="A86" s="61" t="s">
        <v>118</v>
      </c>
      <c r="B86" s="58">
        <v>0.72166666666666679</v>
      </c>
      <c r="F86" s="29"/>
    </row>
    <row r="87" spans="1:6" ht="13" x14ac:dyDescent="0.15">
      <c r="A87" s="60" t="s">
        <v>115</v>
      </c>
      <c r="B87" s="32">
        <v>0.63833333333333331</v>
      </c>
      <c r="F87" s="29"/>
    </row>
    <row r="88" spans="1:6" ht="13" x14ac:dyDescent="0.15">
      <c r="A88" s="61" t="s">
        <v>124</v>
      </c>
      <c r="B88" s="58">
        <v>0.625</v>
      </c>
      <c r="F88" s="29"/>
    </row>
    <row r="89" spans="1:6" ht="13" x14ac:dyDescent="0.15">
      <c r="A89" s="60" t="s">
        <v>86</v>
      </c>
      <c r="B89" s="32">
        <v>0.61749999999999994</v>
      </c>
      <c r="F89" s="29"/>
    </row>
    <row r="90" spans="1:6" ht="13" x14ac:dyDescent="0.15">
      <c r="A90" s="61" t="s">
        <v>114</v>
      </c>
      <c r="B90" s="58">
        <v>0.61749999999999994</v>
      </c>
      <c r="F90" s="29"/>
    </row>
    <row r="91" spans="1:6" ht="13" x14ac:dyDescent="0.15">
      <c r="A91" s="60" t="s">
        <v>116</v>
      </c>
      <c r="B91" s="32">
        <v>0.59666666666666657</v>
      </c>
      <c r="F91" s="29"/>
    </row>
    <row r="92" spans="1:6" ht="13" x14ac:dyDescent="0.15">
      <c r="A92" s="61" t="s">
        <v>110</v>
      </c>
      <c r="B92" s="58">
        <v>0.57638888888888884</v>
      </c>
      <c r="F92" s="29"/>
    </row>
    <row r="93" spans="1:6" ht="13" x14ac:dyDescent="0.15">
      <c r="A93" s="60" t="s">
        <v>111</v>
      </c>
      <c r="B93" s="32">
        <v>0.57583333333333331</v>
      </c>
      <c r="F93" s="29"/>
    </row>
    <row r="94" spans="1:6" ht="13" x14ac:dyDescent="0.15">
      <c r="A94" s="61" t="s">
        <v>109</v>
      </c>
      <c r="B94" s="58">
        <v>0.51333333333333331</v>
      </c>
      <c r="F94" s="29"/>
    </row>
    <row r="95" spans="1:6" ht="13" x14ac:dyDescent="0.15">
      <c r="A95" s="38" t="s">
        <v>113</v>
      </c>
      <c r="B95" s="32">
        <v>0.39583333333333331</v>
      </c>
      <c r="F95" s="29"/>
    </row>
    <row r="96" spans="1:6" ht="13" x14ac:dyDescent="0.15">
      <c r="A96" s="34" t="s">
        <v>75</v>
      </c>
      <c r="B96" s="35">
        <v>0.50638888888888889</v>
      </c>
      <c r="C96" s="42">
        <f>AVERAGE(B97:B99)</f>
        <v>0.50638888888888889</v>
      </c>
      <c r="F96" s="29"/>
    </row>
    <row r="97" spans="1:6" ht="13" x14ac:dyDescent="0.15">
      <c r="A97" s="60" t="s">
        <v>123</v>
      </c>
      <c r="B97" s="32">
        <v>0.54166666666666663</v>
      </c>
      <c r="F97" s="29"/>
    </row>
    <row r="98" spans="1:6" ht="13" x14ac:dyDescent="0.15">
      <c r="A98" s="61" t="s">
        <v>122</v>
      </c>
      <c r="B98" s="58">
        <v>0.49249999999999999</v>
      </c>
      <c r="F98" s="29"/>
    </row>
    <row r="99" spans="1:6" ht="13" x14ac:dyDescent="0.15">
      <c r="A99" s="60" t="s">
        <v>121</v>
      </c>
      <c r="B99" s="32">
        <v>0.48499999999999999</v>
      </c>
      <c r="F99" s="29"/>
    </row>
    <row r="101" spans="1:6" x14ac:dyDescent="0.2">
      <c r="A101" s="29" t="s">
        <v>143</v>
      </c>
    </row>
    <row r="102" spans="1:6" ht="13" x14ac:dyDescent="0.15">
      <c r="F102" s="29"/>
    </row>
    <row r="103" spans="1:6" ht="28" x14ac:dyDescent="0.15">
      <c r="A103" s="40" t="s">
        <v>1</v>
      </c>
      <c r="B103" s="40" t="s">
        <v>93</v>
      </c>
      <c r="F103" s="29"/>
    </row>
    <row r="104" spans="1:6" ht="13" x14ac:dyDescent="0.15">
      <c r="A104" s="36" t="s">
        <v>103</v>
      </c>
      <c r="B104" s="138">
        <v>0.88083333333333325</v>
      </c>
      <c r="C104" s="42"/>
      <c r="F104" s="29"/>
    </row>
    <row r="105" spans="1:6" ht="13" x14ac:dyDescent="0.15">
      <c r="A105" s="36" t="s">
        <v>105</v>
      </c>
      <c r="B105" s="138">
        <v>0.81833333333333325</v>
      </c>
      <c r="F105" s="29"/>
    </row>
    <row r="106" spans="1:6" ht="13" x14ac:dyDescent="0.15">
      <c r="A106" s="36" t="s">
        <v>117</v>
      </c>
      <c r="B106" s="138">
        <v>0.81833333333333325</v>
      </c>
      <c r="F106" s="29"/>
    </row>
    <row r="107" spans="1:6" ht="13" x14ac:dyDescent="0.15">
      <c r="A107" s="36" t="s">
        <v>128</v>
      </c>
      <c r="B107" s="138">
        <v>0.79</v>
      </c>
      <c r="F107" s="29"/>
    </row>
    <row r="108" spans="1:6" ht="13" x14ac:dyDescent="0.15">
      <c r="A108" s="36" t="s">
        <v>120</v>
      </c>
      <c r="B108" s="138">
        <v>0.77666666666666673</v>
      </c>
      <c r="F108" s="29"/>
    </row>
    <row r="109" spans="1:6" ht="13" x14ac:dyDescent="0.15">
      <c r="A109" s="36" t="s">
        <v>119</v>
      </c>
      <c r="B109" s="138">
        <v>0.75583333333333325</v>
      </c>
      <c r="F109" s="29"/>
    </row>
    <row r="110" spans="1:6" ht="13" x14ac:dyDescent="0.15">
      <c r="A110" s="36" t="s">
        <v>112</v>
      </c>
      <c r="B110" s="138">
        <v>0.74250000000000005</v>
      </c>
      <c r="F110" s="29"/>
    </row>
    <row r="111" spans="1:6" ht="13" x14ac:dyDescent="0.15">
      <c r="A111" s="36" t="s">
        <v>118</v>
      </c>
      <c r="B111" s="138">
        <v>0.72166666666666679</v>
      </c>
      <c r="F111" s="29"/>
    </row>
    <row r="112" spans="1:6" ht="13" x14ac:dyDescent="0.15">
      <c r="A112" s="36" t="s">
        <v>104</v>
      </c>
      <c r="B112" s="138">
        <v>0.72166666666666668</v>
      </c>
      <c r="F112" s="29"/>
    </row>
    <row r="113" spans="1:6" ht="13" x14ac:dyDescent="0.15">
      <c r="A113" s="36" t="s">
        <v>127</v>
      </c>
      <c r="B113" s="138">
        <v>0.68749999999999989</v>
      </c>
      <c r="F113" s="29"/>
    </row>
    <row r="114" spans="1:6" ht="13" x14ac:dyDescent="0.15">
      <c r="A114" s="36" t="s">
        <v>132</v>
      </c>
      <c r="B114" s="138">
        <v>0.63833333333333331</v>
      </c>
      <c r="C114" s="42"/>
      <c r="F114" s="29"/>
    </row>
    <row r="115" spans="1:6" ht="13" x14ac:dyDescent="0.15">
      <c r="A115" s="36" t="s">
        <v>115</v>
      </c>
      <c r="B115" s="138">
        <v>0.63833333333333331</v>
      </c>
      <c r="F115" s="29"/>
    </row>
    <row r="116" spans="1:6" ht="13" x14ac:dyDescent="0.15">
      <c r="A116" s="36" t="s">
        <v>125</v>
      </c>
      <c r="B116" s="138">
        <v>0.63833333333333331</v>
      </c>
      <c r="F116" s="29"/>
    </row>
    <row r="117" spans="1:6" ht="13" x14ac:dyDescent="0.15">
      <c r="A117" s="36" t="s">
        <v>124</v>
      </c>
      <c r="B117" s="138">
        <v>0.625</v>
      </c>
      <c r="F117" s="29"/>
    </row>
    <row r="118" spans="1:6" ht="13" x14ac:dyDescent="0.15">
      <c r="A118" s="36" t="s">
        <v>114</v>
      </c>
      <c r="B118" s="138">
        <v>0.61749999999999994</v>
      </c>
      <c r="F118" s="29"/>
    </row>
    <row r="119" spans="1:6" ht="13" x14ac:dyDescent="0.15">
      <c r="A119" s="36" t="s">
        <v>86</v>
      </c>
      <c r="B119" s="138">
        <v>0.61749999999999994</v>
      </c>
      <c r="F119" s="29"/>
    </row>
    <row r="120" spans="1:6" ht="13" x14ac:dyDescent="0.15">
      <c r="A120" s="36" t="s">
        <v>116</v>
      </c>
      <c r="B120" s="138">
        <v>0.59666666666666657</v>
      </c>
      <c r="F120" s="29"/>
    </row>
    <row r="121" spans="1:6" ht="13" x14ac:dyDescent="0.15">
      <c r="A121" s="36" t="s">
        <v>110</v>
      </c>
      <c r="B121" s="138">
        <v>0.57638888888888884</v>
      </c>
      <c r="F121" s="29"/>
    </row>
    <row r="122" spans="1:6" ht="13" x14ac:dyDescent="0.15">
      <c r="A122" s="36" t="s">
        <v>107</v>
      </c>
      <c r="B122" s="138">
        <v>0.57583333333333331</v>
      </c>
      <c r="F122" s="29"/>
    </row>
    <row r="123" spans="1:6" ht="13" x14ac:dyDescent="0.15">
      <c r="A123" s="36" t="s">
        <v>111</v>
      </c>
      <c r="B123" s="138">
        <v>0.57583333333333331</v>
      </c>
      <c r="F123" s="29"/>
    </row>
    <row r="124" spans="1:6" ht="13" x14ac:dyDescent="0.15">
      <c r="A124" s="36" t="s">
        <v>108</v>
      </c>
      <c r="B124" s="138">
        <v>0.56833333333333336</v>
      </c>
      <c r="F124" s="29"/>
    </row>
    <row r="125" spans="1:6" ht="13" x14ac:dyDescent="0.15">
      <c r="A125" s="36" t="s">
        <v>126</v>
      </c>
      <c r="B125" s="138">
        <v>0.54749999999999999</v>
      </c>
      <c r="F125" s="29"/>
    </row>
    <row r="126" spans="1:6" ht="13" x14ac:dyDescent="0.15">
      <c r="A126" s="36" t="s">
        <v>123</v>
      </c>
      <c r="B126" s="138">
        <v>0.54166666666666663</v>
      </c>
      <c r="F126" s="29"/>
    </row>
    <row r="127" spans="1:6" ht="13" x14ac:dyDescent="0.15">
      <c r="A127" s="36" t="s">
        <v>109</v>
      </c>
      <c r="B127" s="138">
        <v>0.51333333333333331</v>
      </c>
      <c r="F127" s="29"/>
    </row>
    <row r="128" spans="1:6" ht="13" x14ac:dyDescent="0.15">
      <c r="A128" s="36" t="s">
        <v>122</v>
      </c>
      <c r="B128" s="138">
        <v>0.49249999999999999</v>
      </c>
      <c r="F128" s="29"/>
    </row>
    <row r="129" spans="1:6" ht="13" x14ac:dyDescent="0.15">
      <c r="A129" s="36" t="s">
        <v>121</v>
      </c>
      <c r="B129" s="138">
        <v>0.48499999999999999</v>
      </c>
      <c r="F129" s="29"/>
    </row>
    <row r="130" spans="1:6" ht="13" x14ac:dyDescent="0.15">
      <c r="A130" s="36" t="s">
        <v>113</v>
      </c>
      <c r="B130" s="138">
        <v>0.39583333333333331</v>
      </c>
      <c r="C130" s="42"/>
      <c r="F130" s="29"/>
    </row>
    <row r="131" spans="1:6" x14ac:dyDescent="0.2">
      <c r="A131" s="60"/>
      <c r="B131" s="32"/>
    </row>
    <row r="132" spans="1:6" x14ac:dyDescent="0.2">
      <c r="A132" s="61"/>
      <c r="B132" s="58"/>
    </row>
    <row r="133" spans="1:6" x14ac:dyDescent="0.2">
      <c r="A133" s="60"/>
      <c r="B133" s="32"/>
    </row>
    <row r="135" spans="1:6" x14ac:dyDescent="0.2">
      <c r="A135" s="29" t="s">
        <v>102</v>
      </c>
    </row>
    <row r="137" spans="1:6" ht="16" thickBot="1" x14ac:dyDescent="0.25">
      <c r="A137" s="54" t="s">
        <v>1</v>
      </c>
      <c r="B137" s="54" t="s">
        <v>144</v>
      </c>
      <c r="C137" s="54" t="s">
        <v>145</v>
      </c>
      <c r="D137" s="54"/>
    </row>
    <row r="138" spans="1:6" x14ac:dyDescent="0.2">
      <c r="A138" s="97" t="s">
        <v>103</v>
      </c>
      <c r="B138" s="123">
        <v>0.66666666666666663</v>
      </c>
      <c r="C138" s="122">
        <v>0.88083333333333325</v>
      </c>
      <c r="D138" s="42"/>
    </row>
    <row r="139" spans="1:6" x14ac:dyDescent="0.2">
      <c r="A139" s="11" t="s">
        <v>132</v>
      </c>
      <c r="B139" s="112">
        <v>1</v>
      </c>
      <c r="C139" s="111">
        <v>0.63833333333333331</v>
      </c>
      <c r="D139" s="42"/>
    </row>
    <row r="140" spans="1:6" x14ac:dyDescent="0.2">
      <c r="A140" s="11" t="s">
        <v>107</v>
      </c>
      <c r="B140" s="112">
        <v>0.66666666666666663</v>
      </c>
      <c r="C140" s="111">
        <v>0.57583333333333331</v>
      </c>
      <c r="D140" s="42"/>
    </row>
    <row r="141" spans="1:6" x14ac:dyDescent="0.2">
      <c r="A141" s="11" t="s">
        <v>108</v>
      </c>
      <c r="B141" s="112">
        <v>0.66666666666666663</v>
      </c>
      <c r="C141" s="111">
        <v>0.56833333333333336</v>
      </c>
      <c r="D141" s="42"/>
    </row>
    <row r="142" spans="1:6" x14ac:dyDescent="0.2">
      <c r="A142" s="11" t="s">
        <v>126</v>
      </c>
      <c r="B142" s="112">
        <v>1</v>
      </c>
      <c r="C142" s="111">
        <v>0.54749999999999999</v>
      </c>
      <c r="D142" s="42"/>
    </row>
    <row r="143" spans="1:6" x14ac:dyDescent="0.2">
      <c r="A143" s="11" t="s">
        <v>104</v>
      </c>
      <c r="B143" s="112">
        <v>1</v>
      </c>
      <c r="C143" s="111">
        <v>0.72166666666666668</v>
      </c>
      <c r="D143" s="42"/>
    </row>
    <row r="144" spans="1:6" x14ac:dyDescent="0.2">
      <c r="A144" s="11" t="s">
        <v>125</v>
      </c>
      <c r="B144" s="112">
        <v>1</v>
      </c>
      <c r="C144" s="111">
        <v>0.63833333333333331</v>
      </c>
      <c r="D144" s="42"/>
    </row>
    <row r="145" spans="1:4" x14ac:dyDescent="0.2">
      <c r="A145" s="11" t="s">
        <v>105</v>
      </c>
      <c r="B145" s="116">
        <v>1</v>
      </c>
      <c r="C145" s="115">
        <v>0.81833333333333325</v>
      </c>
      <c r="D145" s="42"/>
    </row>
    <row r="146" spans="1:4" x14ac:dyDescent="0.2">
      <c r="A146" s="11" t="s">
        <v>127</v>
      </c>
      <c r="B146" s="112">
        <v>0.66666666666666663</v>
      </c>
      <c r="C146" s="111">
        <v>0.68749999999999989</v>
      </c>
      <c r="D146" s="42"/>
    </row>
    <row r="147" spans="1:4" x14ac:dyDescent="0.2">
      <c r="A147" s="11" t="s">
        <v>120</v>
      </c>
      <c r="B147" s="112">
        <v>1</v>
      </c>
      <c r="C147" s="111">
        <v>0.77666666666666673</v>
      </c>
      <c r="D147" s="42"/>
    </row>
    <row r="148" spans="1:4" x14ac:dyDescent="0.2">
      <c r="A148" s="11" t="s">
        <v>111</v>
      </c>
      <c r="B148" s="112">
        <v>1</v>
      </c>
      <c r="C148" s="111">
        <v>0.57583333333333331</v>
      </c>
      <c r="D148" s="42"/>
    </row>
    <row r="149" spans="1:4" x14ac:dyDescent="0.2">
      <c r="A149" s="11" t="s">
        <v>128</v>
      </c>
      <c r="B149" s="112">
        <v>1</v>
      </c>
      <c r="C149" s="111">
        <v>0.79</v>
      </c>
      <c r="D149" s="42"/>
    </row>
    <row r="150" spans="1:4" x14ac:dyDescent="0.2">
      <c r="A150" s="11" t="s">
        <v>110</v>
      </c>
      <c r="B150" s="112">
        <v>0.33333333333333331</v>
      </c>
      <c r="C150" s="111">
        <v>0.57638888888888884</v>
      </c>
      <c r="D150" s="42"/>
    </row>
    <row r="151" spans="1:4" x14ac:dyDescent="0.2">
      <c r="A151" s="11" t="s">
        <v>113</v>
      </c>
      <c r="B151" s="112">
        <v>0.33333333333333331</v>
      </c>
      <c r="C151" s="111">
        <v>0.39583333333333331</v>
      </c>
      <c r="D151" s="42"/>
    </row>
    <row r="152" spans="1:4" x14ac:dyDescent="0.2">
      <c r="A152" s="11" t="s">
        <v>119</v>
      </c>
      <c r="B152" s="112">
        <v>1</v>
      </c>
      <c r="C152" s="111">
        <v>0.75583333333333325</v>
      </c>
      <c r="D152" s="42"/>
    </row>
    <row r="153" spans="1:4" x14ac:dyDescent="0.2">
      <c r="A153" s="11" t="s">
        <v>124</v>
      </c>
      <c r="B153" s="112">
        <v>1</v>
      </c>
      <c r="C153" s="111">
        <v>0.625</v>
      </c>
      <c r="D153" s="42"/>
    </row>
    <row r="154" spans="1:4" x14ac:dyDescent="0.2">
      <c r="A154" s="11" t="s">
        <v>114</v>
      </c>
      <c r="B154" s="112">
        <v>0</v>
      </c>
      <c r="C154" s="111">
        <v>0.61749999999999994</v>
      </c>
      <c r="D154" s="42"/>
    </row>
    <row r="155" spans="1:4" x14ac:dyDescent="0.2">
      <c r="A155" s="11" t="s">
        <v>86</v>
      </c>
      <c r="B155" s="112">
        <v>0.66666666666666674</v>
      </c>
      <c r="C155" s="111">
        <v>0.61749999999999994</v>
      </c>
      <c r="D155" s="42"/>
    </row>
    <row r="156" spans="1:4" x14ac:dyDescent="0.2">
      <c r="A156" s="11" t="s">
        <v>112</v>
      </c>
      <c r="B156" s="112">
        <v>1</v>
      </c>
      <c r="C156" s="111">
        <v>0.74250000000000005</v>
      </c>
      <c r="D156" s="42"/>
    </row>
    <row r="157" spans="1:4" x14ac:dyDescent="0.2">
      <c r="A157" s="11" t="s">
        <v>115</v>
      </c>
      <c r="B157" s="112">
        <v>1</v>
      </c>
      <c r="C157" s="111">
        <v>0.63833333333333331</v>
      </c>
      <c r="D157" s="42"/>
    </row>
    <row r="158" spans="1:4" x14ac:dyDescent="0.2">
      <c r="A158" s="11" t="s">
        <v>117</v>
      </c>
      <c r="B158" s="112">
        <v>1</v>
      </c>
      <c r="C158" s="111">
        <v>0.81833333333333325</v>
      </c>
      <c r="D158" s="42"/>
    </row>
    <row r="159" spans="1:4" x14ac:dyDescent="0.2">
      <c r="A159" s="11" t="s">
        <v>118</v>
      </c>
      <c r="B159" s="112">
        <v>1</v>
      </c>
      <c r="C159" s="111">
        <v>0.72166666666666679</v>
      </c>
      <c r="D159" s="42"/>
    </row>
    <row r="160" spans="1:4" x14ac:dyDescent="0.2">
      <c r="A160" s="11" t="s">
        <v>109</v>
      </c>
      <c r="B160" s="112">
        <v>0.33333333333333331</v>
      </c>
      <c r="C160" s="111">
        <v>0.51333333333333331</v>
      </c>
      <c r="D160" s="42"/>
    </row>
    <row r="161" spans="1:4" x14ac:dyDescent="0.2">
      <c r="A161" s="11" t="s">
        <v>116</v>
      </c>
      <c r="B161" s="112">
        <v>1</v>
      </c>
      <c r="C161" s="111">
        <v>0.59666666666666657</v>
      </c>
      <c r="D161" s="42"/>
    </row>
    <row r="162" spans="1:4" x14ac:dyDescent="0.2">
      <c r="A162" s="11" t="s">
        <v>121</v>
      </c>
      <c r="B162" s="112">
        <v>0.66666666666666674</v>
      </c>
      <c r="C162" s="111">
        <v>0.48499999999999999</v>
      </c>
      <c r="D162" s="42"/>
    </row>
    <row r="163" spans="1:4" x14ac:dyDescent="0.2">
      <c r="A163" s="11" t="s">
        <v>122</v>
      </c>
      <c r="B163" s="112">
        <v>0.66666666666666663</v>
      </c>
      <c r="C163" s="111">
        <v>0.49249999999999999</v>
      </c>
      <c r="D163" s="42"/>
    </row>
    <row r="164" spans="1:4" ht="16" thickBot="1" x14ac:dyDescent="0.25">
      <c r="A164" s="78" t="s">
        <v>123</v>
      </c>
      <c r="B164" s="105">
        <v>0.33333333333333337</v>
      </c>
      <c r="C164" s="104">
        <v>0.54166666666666663</v>
      </c>
      <c r="D164" s="42"/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73FF5-981C-4723-BCB5-49690C96AE90}">
  <dimension ref="A2:F164"/>
  <sheetViews>
    <sheetView showGridLines="0" topLeftCell="A103" zoomScale="145" zoomScaleNormal="145" workbookViewId="0">
      <selection activeCell="E140" sqref="E140"/>
    </sheetView>
  </sheetViews>
  <sheetFormatPr baseColWidth="10" defaultColWidth="11.33203125" defaultRowHeight="15" x14ac:dyDescent="0.2"/>
  <cols>
    <col min="1" max="1" width="47.83203125" style="29" customWidth="1"/>
    <col min="2" max="2" width="18.6640625" style="30" customWidth="1"/>
    <col min="3" max="3" width="13.1640625" style="29" customWidth="1"/>
    <col min="4" max="4" width="16.1640625" style="29" customWidth="1"/>
    <col min="5" max="5" width="11.33203125" style="29"/>
    <col min="6" max="6" width="11" customWidth="1"/>
    <col min="7" max="16384" width="11.33203125" style="29"/>
  </cols>
  <sheetData>
    <row r="2" spans="1:6" ht="13" x14ac:dyDescent="0.15">
      <c r="A2" s="41" t="s">
        <v>95</v>
      </c>
      <c r="F2" s="29"/>
    </row>
    <row r="4" spans="1:6" ht="26.25" customHeight="1" thickBot="1" x14ac:dyDescent="0.2">
      <c r="A4" s="57" t="s">
        <v>94</v>
      </c>
      <c r="B4" s="31" t="s">
        <v>93</v>
      </c>
      <c r="F4" s="29"/>
    </row>
    <row r="5" spans="1:6" ht="13" x14ac:dyDescent="0.15">
      <c r="A5" s="34" t="s">
        <v>53</v>
      </c>
      <c r="B5" s="141">
        <v>0.43799629629629633</v>
      </c>
      <c r="C5" s="42">
        <f>AVERAGE(B6:B14)</f>
        <v>0.43799629629629622</v>
      </c>
      <c r="F5" s="29"/>
    </row>
    <row r="6" spans="1:6" ht="13" x14ac:dyDescent="0.15">
      <c r="A6" s="55" t="s">
        <v>108</v>
      </c>
      <c r="B6" s="32">
        <v>0.88888333333333325</v>
      </c>
      <c r="F6" s="29"/>
    </row>
    <row r="7" spans="1:6" ht="13" x14ac:dyDescent="0.15">
      <c r="A7" s="56" t="s">
        <v>103</v>
      </c>
      <c r="B7" s="33">
        <v>0.72221666666666662</v>
      </c>
      <c r="F7" s="29"/>
    </row>
    <row r="8" spans="1:6" ht="13" x14ac:dyDescent="0.15">
      <c r="A8" s="55" t="s">
        <v>104</v>
      </c>
      <c r="B8" s="32">
        <v>0.55554999999999999</v>
      </c>
      <c r="F8" s="29"/>
    </row>
    <row r="9" spans="1:6" ht="13" x14ac:dyDescent="0.15">
      <c r="A9" s="56" t="s">
        <v>105</v>
      </c>
      <c r="B9" s="33">
        <v>0.4761833333333334</v>
      </c>
      <c r="F9" s="29"/>
    </row>
    <row r="10" spans="1:6" ht="13" x14ac:dyDescent="0.15">
      <c r="A10" s="55" t="s">
        <v>125</v>
      </c>
      <c r="B10" s="32">
        <v>0.41025</v>
      </c>
      <c r="F10" s="29"/>
    </row>
    <row r="11" spans="1:6" ht="13" x14ac:dyDescent="0.15">
      <c r="A11" s="56" t="s">
        <v>132</v>
      </c>
      <c r="B11" s="33">
        <v>0.33333333333333331</v>
      </c>
      <c r="F11" s="29"/>
    </row>
    <row r="12" spans="1:6" ht="13" x14ac:dyDescent="0.15">
      <c r="A12" s="55" t="s">
        <v>126</v>
      </c>
      <c r="B12" s="32">
        <v>0.22221666666666667</v>
      </c>
      <c r="F12" s="29"/>
    </row>
    <row r="13" spans="1:6" ht="13" x14ac:dyDescent="0.15">
      <c r="A13" s="56" t="s">
        <v>107</v>
      </c>
      <c r="B13" s="33">
        <v>0.16666666666666669</v>
      </c>
      <c r="F13" s="29"/>
    </row>
    <row r="14" spans="1:6" ht="13" x14ac:dyDescent="0.15">
      <c r="A14" s="55" t="s">
        <v>127</v>
      </c>
      <c r="B14" s="32">
        <v>0.16666666666666666</v>
      </c>
      <c r="F14" s="29"/>
    </row>
    <row r="15" spans="1:6" ht="13" x14ac:dyDescent="0.15">
      <c r="A15" s="34" t="s">
        <v>55</v>
      </c>
      <c r="B15" s="140">
        <v>0.42339333333333329</v>
      </c>
      <c r="C15" s="42">
        <f>AVERAGE(B16:B30)</f>
        <v>0.42339333333333323</v>
      </c>
      <c r="F15" s="29"/>
    </row>
    <row r="16" spans="1:6" ht="13" x14ac:dyDescent="0.15">
      <c r="A16" s="55" t="s">
        <v>110</v>
      </c>
      <c r="B16" s="32">
        <v>0.94443333333333324</v>
      </c>
      <c r="F16" s="29"/>
    </row>
    <row r="17" spans="1:6" ht="13" x14ac:dyDescent="0.15">
      <c r="A17" s="56" t="s">
        <v>128</v>
      </c>
      <c r="B17" s="33">
        <v>0.6944499999999999</v>
      </c>
      <c r="F17" s="29"/>
    </row>
    <row r="18" spans="1:6" ht="13" x14ac:dyDescent="0.15">
      <c r="A18" s="55" t="s">
        <v>117</v>
      </c>
      <c r="B18" s="32">
        <v>0.55276666666666663</v>
      </c>
      <c r="F18" s="29"/>
    </row>
    <row r="19" spans="1:6" ht="13" x14ac:dyDescent="0.15">
      <c r="A19" s="56" t="s">
        <v>111</v>
      </c>
      <c r="B19" s="33">
        <v>0.53703333333333325</v>
      </c>
      <c r="F19" s="29"/>
    </row>
    <row r="20" spans="1:6" ht="13" x14ac:dyDescent="0.15">
      <c r="A20" s="55" t="s">
        <v>112</v>
      </c>
      <c r="B20" s="32">
        <v>0.51111666666666666</v>
      </c>
      <c r="F20" s="29"/>
    </row>
    <row r="21" spans="1:6" ht="13" x14ac:dyDescent="0.15">
      <c r="A21" s="56" t="s">
        <v>118</v>
      </c>
      <c r="B21" s="33">
        <v>0.4444333333333334</v>
      </c>
      <c r="F21" s="29"/>
    </row>
    <row r="22" spans="1:6" ht="13" x14ac:dyDescent="0.15">
      <c r="A22" s="55" t="s">
        <v>115</v>
      </c>
      <c r="B22" s="32">
        <v>0.33333333333333337</v>
      </c>
      <c r="F22" s="29"/>
    </row>
    <row r="23" spans="1:6" ht="13" x14ac:dyDescent="0.15">
      <c r="A23" s="56" t="s">
        <v>109</v>
      </c>
      <c r="B23" s="33">
        <v>0.33333333333333337</v>
      </c>
      <c r="F23" s="29"/>
    </row>
    <row r="24" spans="1:6" ht="13" x14ac:dyDescent="0.15">
      <c r="A24" s="55" t="s">
        <v>120</v>
      </c>
      <c r="B24" s="32">
        <v>0.33333333333333337</v>
      </c>
      <c r="F24" s="29"/>
    </row>
    <row r="25" spans="1:6" ht="13" x14ac:dyDescent="0.15">
      <c r="A25" s="56" t="s">
        <v>124</v>
      </c>
      <c r="B25" s="33">
        <v>0.33333333333333337</v>
      </c>
      <c r="F25" s="29"/>
    </row>
    <row r="26" spans="1:6" ht="13" x14ac:dyDescent="0.15">
      <c r="A26" s="55" t="s">
        <v>119</v>
      </c>
      <c r="B26" s="32">
        <v>0.33333333333333331</v>
      </c>
      <c r="F26" s="29"/>
    </row>
    <row r="27" spans="1:6" ht="13" x14ac:dyDescent="0.15">
      <c r="A27" s="56" t="s">
        <v>86</v>
      </c>
      <c r="B27" s="33">
        <v>0.33333333333333331</v>
      </c>
      <c r="F27" s="29"/>
    </row>
    <row r="28" spans="1:6" ht="13" x14ac:dyDescent="0.15">
      <c r="A28" s="55" t="s">
        <v>116</v>
      </c>
      <c r="B28" s="32">
        <v>0.33333333333333331</v>
      </c>
      <c r="F28" s="29"/>
    </row>
    <row r="29" spans="1:6" ht="13" x14ac:dyDescent="0.15">
      <c r="A29" s="56" t="s">
        <v>113</v>
      </c>
      <c r="B29" s="33">
        <v>0.33333333333333331</v>
      </c>
      <c r="F29" s="29"/>
    </row>
    <row r="30" spans="1:6" ht="13" x14ac:dyDescent="0.15">
      <c r="A30" s="55" t="s">
        <v>114</v>
      </c>
      <c r="B30" s="32">
        <v>0</v>
      </c>
      <c r="F30" s="29"/>
    </row>
    <row r="31" spans="1:6" ht="13" x14ac:dyDescent="0.15">
      <c r="A31" s="34" t="s">
        <v>75</v>
      </c>
      <c r="B31" s="142">
        <v>0.22222222222222224</v>
      </c>
      <c r="C31" s="42">
        <f>AVERAGE(B32:B34)</f>
        <v>0.22222222222222221</v>
      </c>
      <c r="F31" s="29"/>
    </row>
    <row r="32" spans="1:6" ht="13" x14ac:dyDescent="0.15">
      <c r="A32" s="55" t="s">
        <v>123</v>
      </c>
      <c r="B32" s="32">
        <v>0.33333333333333337</v>
      </c>
      <c r="F32" s="29"/>
    </row>
    <row r="33" spans="1:6" ht="13" x14ac:dyDescent="0.15">
      <c r="A33" s="56" t="s">
        <v>122</v>
      </c>
      <c r="B33" s="33">
        <v>0.16666666666666669</v>
      </c>
      <c r="F33" s="29"/>
    </row>
    <row r="34" spans="1:6" ht="13" x14ac:dyDescent="0.15">
      <c r="A34" s="55" t="s">
        <v>121</v>
      </c>
      <c r="B34" s="32">
        <v>0.16666666666666666</v>
      </c>
      <c r="F34" s="29"/>
    </row>
    <row r="36" spans="1:6" ht="13" x14ac:dyDescent="0.15">
      <c r="A36" s="29" t="s">
        <v>96</v>
      </c>
      <c r="F36" s="29"/>
    </row>
    <row r="37" spans="1:6" ht="28" x14ac:dyDescent="0.15">
      <c r="A37" s="40" t="s">
        <v>1</v>
      </c>
      <c r="B37" s="40" t="s">
        <v>97</v>
      </c>
      <c r="F37" s="29"/>
    </row>
    <row r="38" spans="1:6" ht="13" x14ac:dyDescent="0.15">
      <c r="A38" s="36" t="s">
        <v>110</v>
      </c>
      <c r="B38" s="37">
        <v>0.94443333333333324</v>
      </c>
      <c r="F38" s="29"/>
    </row>
    <row r="39" spans="1:6" ht="13" x14ac:dyDescent="0.15">
      <c r="A39" s="36" t="s">
        <v>108</v>
      </c>
      <c r="B39" s="37">
        <v>0.88888333333333325</v>
      </c>
      <c r="F39" s="29"/>
    </row>
    <row r="40" spans="1:6" ht="13" x14ac:dyDescent="0.15">
      <c r="A40" s="36" t="s">
        <v>103</v>
      </c>
      <c r="B40" s="37">
        <v>0.72221666666666662</v>
      </c>
      <c r="F40" s="29"/>
    </row>
    <row r="41" spans="1:6" ht="13" x14ac:dyDescent="0.15">
      <c r="A41" s="36" t="s">
        <v>128</v>
      </c>
      <c r="B41" s="37">
        <v>0.6944499999999999</v>
      </c>
      <c r="F41" s="29"/>
    </row>
    <row r="42" spans="1:6" ht="13" x14ac:dyDescent="0.15">
      <c r="A42" s="36" t="s">
        <v>104</v>
      </c>
      <c r="B42" s="37">
        <v>0.55554999999999999</v>
      </c>
      <c r="F42" s="29"/>
    </row>
    <row r="43" spans="1:6" ht="13" x14ac:dyDescent="0.15">
      <c r="A43" s="36" t="s">
        <v>117</v>
      </c>
      <c r="B43" s="37">
        <v>0.55276666666666663</v>
      </c>
      <c r="F43" s="29"/>
    </row>
    <row r="44" spans="1:6" ht="13" x14ac:dyDescent="0.15">
      <c r="A44" s="36" t="s">
        <v>111</v>
      </c>
      <c r="B44" s="37">
        <v>0.53703333333333325</v>
      </c>
      <c r="F44" s="29"/>
    </row>
    <row r="45" spans="1:6" ht="13" x14ac:dyDescent="0.15">
      <c r="A45" s="36" t="s">
        <v>112</v>
      </c>
      <c r="B45" s="37">
        <v>0.51111666666666666</v>
      </c>
      <c r="F45" s="29"/>
    </row>
    <row r="46" spans="1:6" ht="13" x14ac:dyDescent="0.15">
      <c r="A46" s="36" t="s">
        <v>105</v>
      </c>
      <c r="B46" s="37">
        <v>0.4761833333333334</v>
      </c>
      <c r="F46" s="29"/>
    </row>
    <row r="47" spans="1:6" ht="13" x14ac:dyDescent="0.15">
      <c r="A47" s="36" t="s">
        <v>118</v>
      </c>
      <c r="B47" s="37">
        <v>0.4444333333333334</v>
      </c>
      <c r="F47" s="29"/>
    </row>
    <row r="48" spans="1:6" ht="13" x14ac:dyDescent="0.15">
      <c r="A48" s="36" t="s">
        <v>125</v>
      </c>
      <c r="B48" s="37">
        <v>0.41025</v>
      </c>
      <c r="F48" s="29"/>
    </row>
    <row r="49" spans="1:6" ht="13" x14ac:dyDescent="0.15">
      <c r="A49" s="36" t="s">
        <v>123</v>
      </c>
      <c r="B49" s="37">
        <v>0.33333333333333337</v>
      </c>
      <c r="F49" s="29"/>
    </row>
    <row r="50" spans="1:6" ht="13" x14ac:dyDescent="0.15">
      <c r="A50" s="36" t="s">
        <v>120</v>
      </c>
      <c r="B50" s="37">
        <v>0.33333333333333337</v>
      </c>
      <c r="F50" s="29"/>
    </row>
    <row r="51" spans="1:6" ht="13" x14ac:dyDescent="0.15">
      <c r="A51" s="36" t="s">
        <v>109</v>
      </c>
      <c r="B51" s="37">
        <v>0.33333333333333337</v>
      </c>
      <c r="F51" s="29"/>
    </row>
    <row r="52" spans="1:6" ht="13" x14ac:dyDescent="0.15">
      <c r="A52" s="36" t="s">
        <v>124</v>
      </c>
      <c r="B52" s="37">
        <v>0.33333333333333337</v>
      </c>
      <c r="F52" s="29"/>
    </row>
    <row r="53" spans="1:6" ht="13" x14ac:dyDescent="0.15">
      <c r="A53" s="36" t="s">
        <v>115</v>
      </c>
      <c r="B53" s="37">
        <v>0.33333333333333337</v>
      </c>
      <c r="F53" s="29"/>
    </row>
    <row r="54" spans="1:6" ht="13" x14ac:dyDescent="0.15">
      <c r="A54" s="36" t="s">
        <v>119</v>
      </c>
      <c r="B54" s="37">
        <v>0.33333333333333331</v>
      </c>
      <c r="F54" s="29"/>
    </row>
    <row r="55" spans="1:6" ht="13" x14ac:dyDescent="0.15">
      <c r="A55" s="36" t="s">
        <v>86</v>
      </c>
      <c r="B55" s="37">
        <v>0.33333333333333331</v>
      </c>
      <c r="F55" s="29"/>
    </row>
    <row r="56" spans="1:6" ht="13" x14ac:dyDescent="0.15">
      <c r="A56" s="36" t="s">
        <v>116</v>
      </c>
      <c r="B56" s="37">
        <v>0.33333333333333331</v>
      </c>
      <c r="F56" s="29"/>
    </row>
    <row r="57" spans="1:6" ht="13" x14ac:dyDescent="0.15">
      <c r="A57" s="36" t="s">
        <v>132</v>
      </c>
      <c r="B57" s="37">
        <v>0.33333333333333331</v>
      </c>
      <c r="F57" s="29"/>
    </row>
    <row r="58" spans="1:6" ht="13" x14ac:dyDescent="0.15">
      <c r="A58" s="36" t="s">
        <v>113</v>
      </c>
      <c r="B58" s="37">
        <v>0.33333333333333331</v>
      </c>
      <c r="F58" s="29"/>
    </row>
    <row r="59" spans="1:6" ht="13" x14ac:dyDescent="0.15">
      <c r="A59" s="36" t="s">
        <v>126</v>
      </c>
      <c r="B59" s="37">
        <v>0.22221666666666667</v>
      </c>
      <c r="F59" s="29"/>
    </row>
    <row r="60" spans="1:6" ht="13" x14ac:dyDescent="0.15">
      <c r="A60" s="36" t="s">
        <v>107</v>
      </c>
      <c r="B60" s="37">
        <v>0.16666666666666669</v>
      </c>
      <c r="F60" s="29"/>
    </row>
    <row r="61" spans="1:6" ht="13" x14ac:dyDescent="0.15">
      <c r="A61" s="36" t="s">
        <v>122</v>
      </c>
      <c r="B61" s="37">
        <v>0.16666666666666669</v>
      </c>
      <c r="F61" s="29"/>
    </row>
    <row r="62" spans="1:6" ht="13" x14ac:dyDescent="0.15">
      <c r="A62" s="36" t="s">
        <v>121</v>
      </c>
      <c r="B62" s="37">
        <v>0.16666666666666666</v>
      </c>
      <c r="F62" s="29"/>
    </row>
    <row r="63" spans="1:6" ht="13" x14ac:dyDescent="0.15">
      <c r="A63" s="36" t="s">
        <v>127</v>
      </c>
      <c r="B63" s="37">
        <v>0.16666666666666666</v>
      </c>
      <c r="F63" s="29"/>
    </row>
    <row r="64" spans="1:6" ht="13" x14ac:dyDescent="0.15">
      <c r="A64" s="36" t="s">
        <v>114</v>
      </c>
      <c r="B64" s="37">
        <v>0</v>
      </c>
      <c r="F64" s="29"/>
    </row>
    <row r="65" spans="1:6" ht="13" x14ac:dyDescent="0.15">
      <c r="A65" s="38"/>
      <c r="B65" s="32"/>
      <c r="F65" s="29"/>
    </row>
    <row r="66" spans="1:6" ht="13" x14ac:dyDescent="0.15">
      <c r="A66" s="38"/>
      <c r="B66" s="32"/>
      <c r="F66" s="29"/>
    </row>
    <row r="67" spans="1:6" ht="13" x14ac:dyDescent="0.15">
      <c r="A67" s="41" t="s">
        <v>98</v>
      </c>
      <c r="B67" s="32"/>
      <c r="F67" s="29"/>
    </row>
    <row r="69" spans="1:6" ht="29" thickBot="1" x14ac:dyDescent="0.2">
      <c r="A69" s="31" t="s">
        <v>1</v>
      </c>
      <c r="B69" s="31" t="s">
        <v>93</v>
      </c>
      <c r="F69" s="29"/>
    </row>
    <row r="70" spans="1:6" ht="13" x14ac:dyDescent="0.15">
      <c r="A70" s="34" t="s">
        <v>53</v>
      </c>
      <c r="B70" s="139">
        <v>0.66666666666666663</v>
      </c>
      <c r="C70" s="42">
        <f>AVERAGE(B71:B79)</f>
        <v>0.66666666666666652</v>
      </c>
      <c r="F70" s="29"/>
    </row>
    <row r="71" spans="1:6" ht="13" x14ac:dyDescent="0.15">
      <c r="A71" s="60" t="s">
        <v>127</v>
      </c>
      <c r="B71" s="32">
        <v>1</v>
      </c>
      <c r="F71" s="29"/>
    </row>
    <row r="72" spans="1:6" ht="13" x14ac:dyDescent="0.15">
      <c r="A72" s="61" t="s">
        <v>105</v>
      </c>
      <c r="B72" s="58">
        <v>1</v>
      </c>
      <c r="F72" s="29"/>
    </row>
    <row r="73" spans="1:6" ht="13" x14ac:dyDescent="0.15">
      <c r="A73" s="60" t="s">
        <v>108</v>
      </c>
      <c r="B73" s="32">
        <v>1</v>
      </c>
      <c r="F73" s="29"/>
    </row>
    <row r="74" spans="1:6" ht="13" x14ac:dyDescent="0.15">
      <c r="A74" s="61" t="s">
        <v>126</v>
      </c>
      <c r="B74" s="58">
        <v>1</v>
      </c>
      <c r="F74" s="29"/>
    </row>
    <row r="75" spans="1:6" ht="13" x14ac:dyDescent="0.15">
      <c r="A75" s="60" t="s">
        <v>103</v>
      </c>
      <c r="B75" s="32">
        <v>0.66666666666666663</v>
      </c>
      <c r="F75" s="29"/>
    </row>
    <row r="76" spans="1:6" ht="13" x14ac:dyDescent="0.15">
      <c r="A76" s="61" t="s">
        <v>125</v>
      </c>
      <c r="B76" s="58">
        <v>0.33333333333333337</v>
      </c>
      <c r="F76" s="29"/>
    </row>
    <row r="77" spans="1:6" ht="13" x14ac:dyDescent="0.15">
      <c r="A77" s="60" t="s">
        <v>104</v>
      </c>
      <c r="B77" s="32">
        <v>0.33333333333333331</v>
      </c>
      <c r="F77" s="29"/>
    </row>
    <row r="78" spans="1:6" ht="13" x14ac:dyDescent="0.15">
      <c r="A78" s="61" t="s">
        <v>132</v>
      </c>
      <c r="B78" s="58">
        <v>0.33333333333333331</v>
      </c>
      <c r="F78" s="29"/>
    </row>
    <row r="79" spans="1:6" ht="13" x14ac:dyDescent="0.15">
      <c r="A79" s="60" t="s">
        <v>107</v>
      </c>
      <c r="B79" s="32">
        <v>0.33333333333333331</v>
      </c>
      <c r="F79" s="29"/>
    </row>
    <row r="80" spans="1:6" ht="13" x14ac:dyDescent="0.15">
      <c r="A80" s="34" t="s">
        <v>55</v>
      </c>
      <c r="B80" s="140">
        <v>0.71111111111111103</v>
      </c>
      <c r="C80" s="42">
        <f>AVERAGE(B81:B95)</f>
        <v>0.71111111111111136</v>
      </c>
      <c r="F80" s="29"/>
    </row>
    <row r="81" spans="1:6" ht="13" x14ac:dyDescent="0.15">
      <c r="A81" s="60" t="s">
        <v>86</v>
      </c>
      <c r="B81" s="32">
        <v>1</v>
      </c>
      <c r="F81" s="29"/>
    </row>
    <row r="82" spans="1:6" ht="13" x14ac:dyDescent="0.15">
      <c r="A82" s="61" t="s">
        <v>115</v>
      </c>
      <c r="B82" s="58">
        <v>1</v>
      </c>
      <c r="F82" s="29"/>
    </row>
    <row r="83" spans="1:6" ht="13" x14ac:dyDescent="0.15">
      <c r="A83" s="60" t="s">
        <v>112</v>
      </c>
      <c r="B83" s="32">
        <v>1</v>
      </c>
      <c r="F83" s="29"/>
    </row>
    <row r="84" spans="1:6" ht="13" x14ac:dyDescent="0.15">
      <c r="A84" s="61" t="s">
        <v>116</v>
      </c>
      <c r="B84" s="58">
        <v>1</v>
      </c>
      <c r="F84" s="29"/>
    </row>
    <row r="85" spans="1:6" ht="13" x14ac:dyDescent="0.15">
      <c r="A85" s="60" t="s">
        <v>118</v>
      </c>
      <c r="B85" s="32">
        <v>1</v>
      </c>
      <c r="F85" s="29"/>
    </row>
    <row r="86" spans="1:6" ht="13" x14ac:dyDescent="0.15">
      <c r="A86" s="61" t="s">
        <v>109</v>
      </c>
      <c r="B86" s="58">
        <v>1</v>
      </c>
      <c r="F86" s="29"/>
    </row>
    <row r="87" spans="1:6" ht="13" x14ac:dyDescent="0.15">
      <c r="A87" s="60" t="s">
        <v>120</v>
      </c>
      <c r="B87" s="32">
        <v>1</v>
      </c>
      <c r="F87" s="29"/>
    </row>
    <row r="88" spans="1:6" ht="13" x14ac:dyDescent="0.15">
      <c r="A88" s="61" t="s">
        <v>110</v>
      </c>
      <c r="B88" s="58">
        <v>0.66666666666666663</v>
      </c>
      <c r="F88" s="29"/>
    </row>
    <row r="89" spans="1:6" ht="13" x14ac:dyDescent="0.15">
      <c r="A89" s="60" t="s">
        <v>128</v>
      </c>
      <c r="B89" s="32">
        <v>0.66666666666666663</v>
      </c>
      <c r="F89" s="29"/>
    </row>
    <row r="90" spans="1:6" ht="13" x14ac:dyDescent="0.15">
      <c r="A90" s="61" t="s">
        <v>124</v>
      </c>
      <c r="B90" s="58">
        <v>0.66666666666666663</v>
      </c>
      <c r="F90" s="29"/>
    </row>
    <row r="91" spans="1:6" ht="13" x14ac:dyDescent="0.15">
      <c r="A91" s="60" t="s">
        <v>111</v>
      </c>
      <c r="B91" s="32">
        <v>0.33333333333333331</v>
      </c>
      <c r="F91" s="29"/>
    </row>
    <row r="92" spans="1:6" ht="13" x14ac:dyDescent="0.15">
      <c r="A92" s="61" t="s">
        <v>119</v>
      </c>
      <c r="B92" s="58">
        <v>0.33333333333333331</v>
      </c>
      <c r="F92" s="29"/>
    </row>
    <row r="93" spans="1:6" ht="13" x14ac:dyDescent="0.15">
      <c r="A93" s="60" t="s">
        <v>113</v>
      </c>
      <c r="B93" s="32">
        <v>0.33333333333333331</v>
      </c>
      <c r="F93" s="29"/>
    </row>
    <row r="94" spans="1:6" ht="13" x14ac:dyDescent="0.15">
      <c r="A94" s="61" t="s">
        <v>117</v>
      </c>
      <c r="B94" s="58">
        <v>0.33333333333333331</v>
      </c>
      <c r="F94" s="29"/>
    </row>
    <row r="95" spans="1:6" ht="13" x14ac:dyDescent="0.15">
      <c r="A95" s="38" t="s">
        <v>114</v>
      </c>
      <c r="B95" s="32">
        <v>0.33333333333333331</v>
      </c>
      <c r="F95" s="29"/>
    </row>
    <row r="96" spans="1:6" ht="13" x14ac:dyDescent="0.15">
      <c r="A96" s="34" t="s">
        <v>75</v>
      </c>
      <c r="B96" s="140">
        <v>0.44444444444444442</v>
      </c>
      <c r="C96" s="42">
        <f>AVERAGE(B97:B99)</f>
        <v>0.44444444444444442</v>
      </c>
      <c r="F96" s="29"/>
    </row>
    <row r="97" spans="1:6" ht="13" x14ac:dyDescent="0.15">
      <c r="A97" s="60" t="s">
        <v>122</v>
      </c>
      <c r="B97" s="32">
        <v>0.66666666666666663</v>
      </c>
      <c r="F97" s="29"/>
    </row>
    <row r="98" spans="1:6" ht="13" x14ac:dyDescent="0.15">
      <c r="A98" s="61" t="s">
        <v>123</v>
      </c>
      <c r="B98" s="58">
        <v>0.33333333333333331</v>
      </c>
      <c r="F98" s="29"/>
    </row>
    <row r="99" spans="1:6" ht="13" x14ac:dyDescent="0.15">
      <c r="A99" s="60" t="s">
        <v>121</v>
      </c>
      <c r="B99" s="32">
        <v>0.33333333333333331</v>
      </c>
      <c r="F99" s="29"/>
    </row>
    <row r="101" spans="1:6" x14ac:dyDescent="0.2">
      <c r="A101" s="41" t="s">
        <v>99</v>
      </c>
    </row>
    <row r="102" spans="1:6" ht="13" x14ac:dyDescent="0.15">
      <c r="F102" s="29"/>
    </row>
    <row r="103" spans="1:6" ht="29" thickBot="1" x14ac:dyDescent="0.2">
      <c r="A103" s="31" t="s">
        <v>1</v>
      </c>
      <c r="B103" s="31" t="s">
        <v>93</v>
      </c>
      <c r="F103" s="29"/>
    </row>
    <row r="104" spans="1:6" ht="13" x14ac:dyDescent="0.15">
      <c r="A104" s="34" t="s">
        <v>53</v>
      </c>
      <c r="B104" s="139">
        <v>0.64814814814814814</v>
      </c>
      <c r="C104" s="42">
        <f>AVERAGE(B105:B113)</f>
        <v>0.64814814814814814</v>
      </c>
      <c r="F104" s="29"/>
    </row>
    <row r="105" spans="1:6" ht="13" x14ac:dyDescent="0.15">
      <c r="A105" s="60" t="s">
        <v>104</v>
      </c>
      <c r="B105" s="32">
        <v>1</v>
      </c>
      <c r="F105" s="29"/>
    </row>
    <row r="106" spans="1:6" ht="13" x14ac:dyDescent="0.15">
      <c r="A106" s="61" t="s">
        <v>105</v>
      </c>
      <c r="B106" s="58">
        <v>0.83333333333333326</v>
      </c>
      <c r="F106" s="29"/>
    </row>
    <row r="107" spans="1:6" ht="13" x14ac:dyDescent="0.15">
      <c r="A107" s="60" t="s">
        <v>126</v>
      </c>
      <c r="B107" s="32">
        <v>0.66666666666666663</v>
      </c>
      <c r="F107" s="29"/>
    </row>
    <row r="108" spans="1:6" ht="13" x14ac:dyDescent="0.15">
      <c r="A108" s="61" t="s">
        <v>125</v>
      </c>
      <c r="B108" s="58">
        <v>0.58333333333333337</v>
      </c>
      <c r="F108" s="29"/>
    </row>
    <row r="109" spans="1:6" ht="13" x14ac:dyDescent="0.15">
      <c r="A109" s="60" t="s">
        <v>127</v>
      </c>
      <c r="B109" s="32">
        <v>0.58333333333333337</v>
      </c>
      <c r="F109" s="29"/>
    </row>
    <row r="110" spans="1:6" ht="13" x14ac:dyDescent="0.15">
      <c r="A110" s="61" t="s">
        <v>103</v>
      </c>
      <c r="B110" s="58">
        <v>0.58333333333333337</v>
      </c>
      <c r="F110" s="29"/>
    </row>
    <row r="111" spans="1:6" ht="13" x14ac:dyDescent="0.15">
      <c r="A111" s="60" t="s">
        <v>108</v>
      </c>
      <c r="B111" s="32">
        <v>0.58333333333333337</v>
      </c>
      <c r="F111" s="29"/>
    </row>
    <row r="112" spans="1:6" ht="13" x14ac:dyDescent="0.15">
      <c r="A112" s="61" t="s">
        <v>107</v>
      </c>
      <c r="B112" s="58">
        <v>0.5</v>
      </c>
      <c r="F112" s="29"/>
    </row>
    <row r="113" spans="1:6" ht="13" x14ac:dyDescent="0.15">
      <c r="A113" s="60" t="s">
        <v>132</v>
      </c>
      <c r="B113" s="32">
        <v>0.5</v>
      </c>
      <c r="F113" s="29"/>
    </row>
    <row r="114" spans="1:6" ht="13" x14ac:dyDescent="0.15">
      <c r="A114" s="34" t="s">
        <v>55</v>
      </c>
      <c r="B114" s="140">
        <v>0.66111111111111109</v>
      </c>
      <c r="C114" s="42">
        <f>AVERAGE(B115:B129)</f>
        <v>0.66111111111111098</v>
      </c>
      <c r="F114" s="29"/>
    </row>
    <row r="115" spans="1:6" ht="13" x14ac:dyDescent="0.15">
      <c r="A115" s="60" t="s">
        <v>117</v>
      </c>
      <c r="B115" s="32">
        <v>1</v>
      </c>
      <c r="F115" s="29"/>
    </row>
    <row r="116" spans="1:6" ht="13" x14ac:dyDescent="0.15">
      <c r="A116" s="61" t="s">
        <v>119</v>
      </c>
      <c r="B116" s="58">
        <v>1</v>
      </c>
      <c r="F116" s="29"/>
    </row>
    <row r="117" spans="1:6" ht="13" x14ac:dyDescent="0.15">
      <c r="A117" s="60" t="s">
        <v>118</v>
      </c>
      <c r="B117" s="143">
        <v>1</v>
      </c>
      <c r="F117" s="29"/>
    </row>
    <row r="118" spans="1:6" ht="13" x14ac:dyDescent="0.15">
      <c r="A118" s="61" t="s">
        <v>110</v>
      </c>
      <c r="B118" s="58">
        <v>1</v>
      </c>
      <c r="F118" s="29"/>
    </row>
    <row r="119" spans="1:6" ht="13" x14ac:dyDescent="0.15">
      <c r="A119" s="60" t="s">
        <v>120</v>
      </c>
      <c r="B119" s="32">
        <v>0.83333333333333337</v>
      </c>
      <c r="F119" s="29"/>
    </row>
    <row r="120" spans="1:6" ht="13" x14ac:dyDescent="0.15">
      <c r="A120" s="61" t="s">
        <v>116</v>
      </c>
      <c r="B120" s="58">
        <v>0.58333333333333337</v>
      </c>
      <c r="F120" s="29"/>
    </row>
    <row r="121" spans="1:6" ht="13" x14ac:dyDescent="0.15">
      <c r="A121" s="60" t="s">
        <v>128</v>
      </c>
      <c r="B121" s="32">
        <v>0.58333333333333337</v>
      </c>
      <c r="F121" s="29"/>
    </row>
    <row r="122" spans="1:6" ht="13" x14ac:dyDescent="0.15">
      <c r="A122" s="61" t="s">
        <v>112</v>
      </c>
      <c r="B122" s="58">
        <v>0.58333333333333337</v>
      </c>
      <c r="F122" s="29"/>
    </row>
    <row r="123" spans="1:6" ht="13" x14ac:dyDescent="0.15">
      <c r="A123" s="60" t="s">
        <v>115</v>
      </c>
      <c r="B123" s="32">
        <v>0.58333333333333337</v>
      </c>
      <c r="F123" s="29"/>
    </row>
    <row r="124" spans="1:6" ht="13" x14ac:dyDescent="0.15">
      <c r="A124" s="61" t="s">
        <v>114</v>
      </c>
      <c r="B124" s="58">
        <v>0.58333333333333337</v>
      </c>
      <c r="F124" s="29"/>
    </row>
    <row r="125" spans="1:6" ht="13" x14ac:dyDescent="0.15">
      <c r="A125" s="60" t="s">
        <v>109</v>
      </c>
      <c r="B125" s="32">
        <v>0.5</v>
      </c>
      <c r="F125" s="29"/>
    </row>
    <row r="126" spans="1:6" ht="13" x14ac:dyDescent="0.15">
      <c r="A126" s="61" t="s">
        <v>124</v>
      </c>
      <c r="B126" s="58">
        <v>0.5</v>
      </c>
      <c r="F126" s="29"/>
    </row>
    <row r="127" spans="1:6" ht="13" x14ac:dyDescent="0.15">
      <c r="A127" s="60" t="s">
        <v>111</v>
      </c>
      <c r="B127" s="32">
        <v>0.5</v>
      </c>
      <c r="F127" s="29"/>
    </row>
    <row r="128" spans="1:6" ht="13" x14ac:dyDescent="0.15">
      <c r="A128" s="61" t="s">
        <v>113</v>
      </c>
      <c r="B128" s="58">
        <v>0.5</v>
      </c>
      <c r="F128" s="29"/>
    </row>
    <row r="129" spans="1:6" ht="13" x14ac:dyDescent="0.15">
      <c r="A129" s="60" t="s">
        <v>86</v>
      </c>
      <c r="B129" s="32">
        <v>0.16666666666666666</v>
      </c>
      <c r="F129" s="29"/>
    </row>
    <row r="130" spans="1:6" ht="13" x14ac:dyDescent="0.15">
      <c r="A130" s="34" t="s">
        <v>75</v>
      </c>
      <c r="B130" s="140">
        <v>0.5</v>
      </c>
      <c r="C130" s="42">
        <f>AVERAGE(B131:B133)</f>
        <v>0.5</v>
      </c>
      <c r="F130" s="29"/>
    </row>
    <row r="131" spans="1:6" x14ac:dyDescent="0.2">
      <c r="A131" s="60" t="s">
        <v>121</v>
      </c>
      <c r="B131" s="32">
        <v>0.5</v>
      </c>
    </row>
    <row r="132" spans="1:6" x14ac:dyDescent="0.2">
      <c r="A132" s="61" t="s">
        <v>123</v>
      </c>
      <c r="B132" s="58">
        <v>0.5</v>
      </c>
    </row>
    <row r="133" spans="1:6" x14ac:dyDescent="0.2">
      <c r="A133" s="60" t="s">
        <v>122</v>
      </c>
      <c r="B133" s="32">
        <v>0.5</v>
      </c>
    </row>
    <row r="135" spans="1:6" x14ac:dyDescent="0.2">
      <c r="A135" s="29" t="s">
        <v>102</v>
      </c>
    </row>
    <row r="137" spans="1:6" x14ac:dyDescent="0.2">
      <c r="A137" s="54" t="s">
        <v>1</v>
      </c>
      <c r="B137" s="53" t="s">
        <v>97</v>
      </c>
      <c r="C137" s="53" t="s">
        <v>100</v>
      </c>
      <c r="D137" s="54" t="s">
        <v>101</v>
      </c>
    </row>
    <row r="138" spans="1:6" x14ac:dyDescent="0.2">
      <c r="A138" s="97" t="s">
        <v>103</v>
      </c>
      <c r="B138" s="132">
        <v>0.72221666666666662</v>
      </c>
      <c r="C138" s="132">
        <v>0.66666666666666663</v>
      </c>
      <c r="D138" s="147">
        <v>0.58333333333333337</v>
      </c>
    </row>
    <row r="139" spans="1:6" x14ac:dyDescent="0.2">
      <c r="A139" s="11" t="s">
        <v>132</v>
      </c>
      <c r="B139" s="132">
        <v>0.33333333333333331</v>
      </c>
      <c r="C139" s="132">
        <v>0.33333333333333331</v>
      </c>
      <c r="D139" s="147">
        <v>0.5</v>
      </c>
    </row>
    <row r="140" spans="1:6" x14ac:dyDescent="0.2">
      <c r="A140" s="11" t="s">
        <v>107</v>
      </c>
      <c r="B140" s="132">
        <v>0.16666666666666669</v>
      </c>
      <c r="C140" s="132">
        <v>0.33333333333333331</v>
      </c>
      <c r="D140" s="147">
        <v>0.5</v>
      </c>
    </row>
    <row r="141" spans="1:6" x14ac:dyDescent="0.2">
      <c r="A141" s="11" t="s">
        <v>108</v>
      </c>
      <c r="B141" s="132">
        <v>0.88888333333333325</v>
      </c>
      <c r="C141" s="132">
        <v>1</v>
      </c>
      <c r="D141" s="147">
        <v>0.58333333333333337</v>
      </c>
    </row>
    <row r="142" spans="1:6" x14ac:dyDescent="0.2">
      <c r="A142" s="11" t="s">
        <v>126</v>
      </c>
      <c r="B142" s="132">
        <v>0.22221666666666667</v>
      </c>
      <c r="C142" s="132">
        <v>1</v>
      </c>
      <c r="D142" s="147">
        <v>0.66666666666666663</v>
      </c>
    </row>
    <row r="143" spans="1:6" x14ac:dyDescent="0.2">
      <c r="A143" s="11" t="s">
        <v>104</v>
      </c>
      <c r="B143" s="132">
        <v>0.55554999999999999</v>
      </c>
      <c r="C143" s="132">
        <v>0.33333333333333331</v>
      </c>
      <c r="D143" s="147">
        <v>1</v>
      </c>
    </row>
    <row r="144" spans="1:6" x14ac:dyDescent="0.2">
      <c r="A144" s="11" t="s">
        <v>125</v>
      </c>
      <c r="B144" s="132">
        <v>0.41025</v>
      </c>
      <c r="C144" s="132">
        <v>0.33333333333333337</v>
      </c>
      <c r="D144" s="147">
        <v>0.58333333333333337</v>
      </c>
    </row>
    <row r="145" spans="1:4" x14ac:dyDescent="0.2">
      <c r="A145" s="11" t="s">
        <v>105</v>
      </c>
      <c r="B145" s="132">
        <v>0.4761833333333334</v>
      </c>
      <c r="C145" s="132">
        <v>1</v>
      </c>
      <c r="D145" s="147">
        <v>0.83333333333333326</v>
      </c>
    </row>
    <row r="146" spans="1:4" x14ac:dyDescent="0.2">
      <c r="A146" s="11" t="s">
        <v>127</v>
      </c>
      <c r="B146" s="132">
        <v>0.16666666666666666</v>
      </c>
      <c r="C146" s="132">
        <v>1</v>
      </c>
      <c r="D146" s="147">
        <v>0.58333333333333337</v>
      </c>
    </row>
    <row r="147" spans="1:4" x14ac:dyDescent="0.2">
      <c r="A147" s="11" t="s">
        <v>120</v>
      </c>
      <c r="B147" s="132">
        <v>0.33333333333333337</v>
      </c>
      <c r="C147" s="132">
        <v>1</v>
      </c>
      <c r="D147" s="147">
        <v>0.83333333333333337</v>
      </c>
    </row>
    <row r="148" spans="1:4" x14ac:dyDescent="0.2">
      <c r="A148" s="11" t="s">
        <v>111</v>
      </c>
      <c r="B148" s="132">
        <v>0.53703333333333325</v>
      </c>
      <c r="C148" s="132">
        <v>0.33333333333333331</v>
      </c>
      <c r="D148" s="147">
        <v>0.5</v>
      </c>
    </row>
    <row r="149" spans="1:4" x14ac:dyDescent="0.2">
      <c r="A149" s="11" t="s">
        <v>128</v>
      </c>
      <c r="B149" s="132">
        <v>0.6944499999999999</v>
      </c>
      <c r="C149" s="132">
        <v>0.66666666666666663</v>
      </c>
      <c r="D149" s="147">
        <v>0.58333333333333337</v>
      </c>
    </row>
    <row r="150" spans="1:4" x14ac:dyDescent="0.2">
      <c r="A150" s="11" t="s">
        <v>110</v>
      </c>
      <c r="B150" s="132">
        <v>0.94443333333333324</v>
      </c>
      <c r="C150" s="132">
        <v>0.66666666666666663</v>
      </c>
      <c r="D150" s="147">
        <v>1</v>
      </c>
    </row>
    <row r="151" spans="1:4" x14ac:dyDescent="0.2">
      <c r="A151" s="11" t="s">
        <v>113</v>
      </c>
      <c r="B151" s="132">
        <v>0.33333333333333331</v>
      </c>
      <c r="C151" s="132">
        <v>0.33333333333333331</v>
      </c>
      <c r="D151" s="147">
        <v>0.5</v>
      </c>
    </row>
    <row r="152" spans="1:4" x14ac:dyDescent="0.2">
      <c r="A152" s="11" t="s">
        <v>119</v>
      </c>
      <c r="B152" s="132">
        <v>0.33333333333333331</v>
      </c>
      <c r="C152" s="132">
        <v>0.33333333333333331</v>
      </c>
      <c r="D152" s="147">
        <v>1</v>
      </c>
    </row>
    <row r="153" spans="1:4" x14ac:dyDescent="0.2">
      <c r="A153" s="11" t="s">
        <v>124</v>
      </c>
      <c r="B153" s="132">
        <v>0.33333333333333337</v>
      </c>
      <c r="C153" s="132">
        <v>0.66666666666666663</v>
      </c>
      <c r="D153" s="147">
        <v>0.5</v>
      </c>
    </row>
    <row r="154" spans="1:4" x14ac:dyDescent="0.2">
      <c r="A154" s="11" t="s">
        <v>114</v>
      </c>
      <c r="B154" s="132">
        <v>0</v>
      </c>
      <c r="C154" s="132">
        <v>0.33333333333333331</v>
      </c>
      <c r="D154" s="147">
        <v>0.58333333333333337</v>
      </c>
    </row>
    <row r="155" spans="1:4" x14ac:dyDescent="0.2">
      <c r="A155" s="11" t="s">
        <v>86</v>
      </c>
      <c r="B155" s="132">
        <v>0.33333333333333331</v>
      </c>
      <c r="C155" s="132">
        <v>1</v>
      </c>
      <c r="D155" s="147">
        <v>0.16666666666666666</v>
      </c>
    </row>
    <row r="156" spans="1:4" x14ac:dyDescent="0.2">
      <c r="A156" s="11" t="s">
        <v>112</v>
      </c>
      <c r="B156" s="132">
        <v>0.51111666666666666</v>
      </c>
      <c r="C156" s="132">
        <v>1</v>
      </c>
      <c r="D156" s="147">
        <v>0.58333333333333337</v>
      </c>
    </row>
    <row r="157" spans="1:4" x14ac:dyDescent="0.2">
      <c r="A157" s="11" t="s">
        <v>115</v>
      </c>
      <c r="B157" s="132">
        <v>0.33333333333333337</v>
      </c>
      <c r="C157" s="132">
        <v>1</v>
      </c>
      <c r="D157" s="147">
        <v>0.58333333333333337</v>
      </c>
    </row>
    <row r="158" spans="1:4" x14ac:dyDescent="0.2">
      <c r="A158" s="11" t="s">
        <v>117</v>
      </c>
      <c r="B158" s="132">
        <v>0.55276666666666663</v>
      </c>
      <c r="C158" s="132">
        <v>0.33333333333333331</v>
      </c>
      <c r="D158" s="147">
        <v>1</v>
      </c>
    </row>
    <row r="159" spans="1:4" x14ac:dyDescent="0.2">
      <c r="A159" s="11" t="s">
        <v>118</v>
      </c>
      <c r="B159" s="132">
        <v>0.4444333333333334</v>
      </c>
      <c r="C159" s="132">
        <v>1</v>
      </c>
      <c r="D159" s="147">
        <v>1</v>
      </c>
    </row>
    <row r="160" spans="1:4" x14ac:dyDescent="0.2">
      <c r="A160" s="11" t="s">
        <v>109</v>
      </c>
      <c r="B160" s="132">
        <v>0.33333333333333337</v>
      </c>
      <c r="C160" s="132">
        <v>1</v>
      </c>
      <c r="D160" s="147">
        <v>0.5</v>
      </c>
    </row>
    <row r="161" spans="1:4" x14ac:dyDescent="0.2">
      <c r="A161" s="11" t="s">
        <v>116</v>
      </c>
      <c r="B161" s="132">
        <v>0.33333333333333331</v>
      </c>
      <c r="C161" s="132">
        <v>1</v>
      </c>
      <c r="D161" s="147">
        <v>0.58333333333333337</v>
      </c>
    </row>
    <row r="162" spans="1:4" x14ac:dyDescent="0.2">
      <c r="A162" s="11" t="s">
        <v>121</v>
      </c>
      <c r="B162" s="132">
        <v>0.16666666666666666</v>
      </c>
      <c r="C162" s="132">
        <v>0.33333333333333331</v>
      </c>
      <c r="D162" s="147">
        <v>0.5</v>
      </c>
    </row>
    <row r="163" spans="1:4" x14ac:dyDescent="0.2">
      <c r="A163" s="11" t="s">
        <v>122</v>
      </c>
      <c r="B163" s="132">
        <v>0.16666666666666669</v>
      </c>
      <c r="C163" s="132">
        <v>0.66666666666666663</v>
      </c>
      <c r="D163" s="147">
        <v>0.5</v>
      </c>
    </row>
    <row r="164" spans="1:4" ht="16" thickBot="1" x14ac:dyDescent="0.25">
      <c r="A164" s="78" t="s">
        <v>123</v>
      </c>
      <c r="B164" s="132">
        <v>0.33333333333333337</v>
      </c>
      <c r="C164" s="132">
        <v>0.33333333333333331</v>
      </c>
      <c r="D164" s="147">
        <v>0.5</v>
      </c>
    </row>
  </sheetData>
  <sortState xmlns:xlrd2="http://schemas.microsoft.com/office/spreadsheetml/2017/richdata2" ref="B138:D164">
    <sortCondition descending="1" ref="B137:B164"/>
  </sortState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11A8A-7537-41FB-BECC-FF872553BF36}">
  <dimension ref="B2:D128"/>
  <sheetViews>
    <sheetView topLeftCell="A33" zoomScale="70" zoomScaleNormal="70" workbookViewId="0">
      <selection activeCell="K100" sqref="K100"/>
    </sheetView>
  </sheetViews>
  <sheetFormatPr baseColWidth="10" defaultRowHeight="15" x14ac:dyDescent="0.2"/>
  <cols>
    <col min="2" max="2" width="38.6640625" customWidth="1"/>
    <col min="3" max="3" width="17.83203125" style="17" customWidth="1"/>
  </cols>
  <sheetData>
    <row r="2" spans="2:3" ht="26" x14ac:dyDescent="0.2">
      <c r="B2" s="2" t="s">
        <v>1</v>
      </c>
      <c r="C2" s="4" t="s">
        <v>7</v>
      </c>
    </row>
    <row r="3" spans="2:3" x14ac:dyDescent="0.2">
      <c r="B3" s="11" t="s">
        <v>105</v>
      </c>
      <c r="C3" s="62">
        <v>0.75</v>
      </c>
    </row>
    <row r="4" spans="2:3" x14ac:dyDescent="0.2">
      <c r="B4" s="11" t="s">
        <v>128</v>
      </c>
      <c r="C4" s="62">
        <v>0.71875</v>
      </c>
    </row>
    <row r="5" spans="2:3" x14ac:dyDescent="0.2">
      <c r="B5" s="11" t="s">
        <v>110</v>
      </c>
      <c r="C5" s="62">
        <v>0.70833333333333326</v>
      </c>
    </row>
    <row r="6" spans="2:3" x14ac:dyDescent="0.2">
      <c r="B6" s="11" t="s">
        <v>112</v>
      </c>
      <c r="C6" s="62">
        <v>0.67708333333333326</v>
      </c>
    </row>
    <row r="7" spans="2:3" x14ac:dyDescent="0.2">
      <c r="B7" s="11" t="s">
        <v>115</v>
      </c>
      <c r="C7" s="62">
        <v>0.63541666666666652</v>
      </c>
    </row>
    <row r="8" spans="2:3" x14ac:dyDescent="0.2">
      <c r="B8" s="11" t="s">
        <v>117</v>
      </c>
      <c r="C8" s="62">
        <v>0.59416666666666662</v>
      </c>
    </row>
    <row r="9" spans="2:3" x14ac:dyDescent="0.2">
      <c r="B9" s="11" t="s">
        <v>118</v>
      </c>
      <c r="C9" s="62">
        <v>0.59375</v>
      </c>
    </row>
    <row r="10" spans="2:3" x14ac:dyDescent="0.2">
      <c r="B10" s="11" t="s">
        <v>125</v>
      </c>
      <c r="C10" s="62">
        <v>0.59375</v>
      </c>
    </row>
    <row r="11" spans="2:3" x14ac:dyDescent="0.2">
      <c r="B11" s="11" t="s">
        <v>126</v>
      </c>
      <c r="C11" s="62">
        <v>0.59374999999999989</v>
      </c>
    </row>
    <row r="12" spans="2:3" x14ac:dyDescent="0.2">
      <c r="B12" s="11" t="s">
        <v>119</v>
      </c>
      <c r="C12" s="62">
        <v>0.58333333333333326</v>
      </c>
    </row>
    <row r="13" spans="2:3" x14ac:dyDescent="0.2">
      <c r="B13" s="11" t="s">
        <v>121</v>
      </c>
      <c r="C13" s="62">
        <v>0.57291666666666663</v>
      </c>
    </row>
    <row r="14" spans="2:3" x14ac:dyDescent="0.2">
      <c r="B14" s="11" t="s">
        <v>109</v>
      </c>
      <c r="C14" s="62">
        <v>0.57291666666666663</v>
      </c>
    </row>
    <row r="15" spans="2:3" x14ac:dyDescent="0.2">
      <c r="B15" s="11" t="s">
        <v>108</v>
      </c>
      <c r="C15" s="62">
        <v>0.53125</v>
      </c>
    </row>
    <row r="16" spans="2:3" x14ac:dyDescent="0.2">
      <c r="B16" s="11" t="s">
        <v>104</v>
      </c>
      <c r="C16" s="62">
        <v>0.52124999999999999</v>
      </c>
    </row>
    <row r="17" spans="2:4" x14ac:dyDescent="0.2">
      <c r="B17" s="11" t="s">
        <v>106</v>
      </c>
      <c r="C17" s="62">
        <v>0.51724999999999999</v>
      </c>
    </row>
    <row r="18" spans="2:4" x14ac:dyDescent="0.2">
      <c r="B18" s="11" t="s">
        <v>86</v>
      </c>
      <c r="C18" s="62">
        <v>0.51724999999999999</v>
      </c>
    </row>
    <row r="19" spans="2:4" x14ac:dyDescent="0.2">
      <c r="B19" s="11" t="s">
        <v>123</v>
      </c>
      <c r="C19" s="62">
        <v>0.50791666666666668</v>
      </c>
    </row>
    <row r="20" spans="2:4" x14ac:dyDescent="0.2">
      <c r="B20" s="11" t="s">
        <v>116</v>
      </c>
      <c r="C20" s="62">
        <v>0.47916666666666663</v>
      </c>
    </row>
    <row r="21" spans="2:4" x14ac:dyDescent="0.2">
      <c r="B21" s="11" t="s">
        <v>127</v>
      </c>
      <c r="C21" s="62">
        <v>0.47624999999999995</v>
      </c>
    </row>
    <row r="22" spans="2:4" x14ac:dyDescent="0.2">
      <c r="B22" s="11" t="s">
        <v>107</v>
      </c>
      <c r="C22" s="62">
        <v>0.47569444444444442</v>
      </c>
    </row>
    <row r="23" spans="2:4" x14ac:dyDescent="0.2">
      <c r="B23" s="11" t="s">
        <v>120</v>
      </c>
      <c r="C23" s="62">
        <v>0.47569444444444442</v>
      </c>
    </row>
    <row r="24" spans="2:4" x14ac:dyDescent="0.2">
      <c r="B24" s="11" t="s">
        <v>103</v>
      </c>
      <c r="C24" s="62">
        <v>0.47569444444444442</v>
      </c>
    </row>
    <row r="25" spans="2:4" x14ac:dyDescent="0.2">
      <c r="B25" s="11" t="s">
        <v>122</v>
      </c>
      <c r="C25" s="62">
        <v>0.37847222222222221</v>
      </c>
    </row>
    <row r="26" spans="2:4" x14ac:dyDescent="0.2">
      <c r="B26" s="11" t="s">
        <v>124</v>
      </c>
      <c r="C26" s="62">
        <v>0.37847222222222221</v>
      </c>
    </row>
    <row r="27" spans="2:4" x14ac:dyDescent="0.2">
      <c r="B27" s="11" t="s">
        <v>113</v>
      </c>
      <c r="C27" s="62">
        <v>0.33680555555555547</v>
      </c>
    </row>
    <row r="28" spans="2:4" x14ac:dyDescent="0.2">
      <c r="B28" s="11" t="s">
        <v>114</v>
      </c>
      <c r="C28" s="62">
        <v>0.25347222222222221</v>
      </c>
    </row>
    <row r="29" spans="2:4" x14ac:dyDescent="0.2">
      <c r="B29" s="11" t="s">
        <v>111</v>
      </c>
      <c r="C29" s="62">
        <v>0.20833333333333331</v>
      </c>
    </row>
    <row r="32" spans="2:4" ht="26" x14ac:dyDescent="0.2">
      <c r="B32" s="2" t="s">
        <v>1</v>
      </c>
      <c r="C32" s="2" t="s">
        <v>129</v>
      </c>
      <c r="D32" s="4" t="s">
        <v>130</v>
      </c>
    </row>
    <row r="33" spans="2:4" x14ac:dyDescent="0.2">
      <c r="B33" s="97" t="s">
        <v>103</v>
      </c>
      <c r="C33" s="63">
        <v>0.54167500000000002</v>
      </c>
      <c r="D33" s="47">
        <v>0.14583333333333337</v>
      </c>
    </row>
    <row r="34" spans="2:4" x14ac:dyDescent="0.2">
      <c r="B34" s="11" t="s">
        <v>132</v>
      </c>
      <c r="C34" s="63">
        <v>0.54167500000000002</v>
      </c>
      <c r="D34" s="47">
        <v>0.22917499999999999</v>
      </c>
    </row>
    <row r="35" spans="2:4" x14ac:dyDescent="0.2">
      <c r="B35" s="11" t="s">
        <v>107</v>
      </c>
      <c r="C35" s="63">
        <v>0.54167500000000002</v>
      </c>
      <c r="D35" s="46">
        <v>0.22917499999999999</v>
      </c>
    </row>
    <row r="36" spans="2:4" x14ac:dyDescent="0.2">
      <c r="B36" s="11" t="s">
        <v>108</v>
      </c>
      <c r="C36" s="63">
        <v>0.54167500000000002</v>
      </c>
      <c r="D36" s="27">
        <v>0.22917499999999999</v>
      </c>
    </row>
    <row r="37" spans="2:4" x14ac:dyDescent="0.2">
      <c r="B37" s="11" t="s">
        <v>126</v>
      </c>
      <c r="C37" s="63">
        <v>0.54167500000000002</v>
      </c>
      <c r="D37" s="27">
        <v>0.14583333333333337</v>
      </c>
    </row>
    <row r="38" spans="2:4" x14ac:dyDescent="0.2">
      <c r="B38" s="11" t="s">
        <v>104</v>
      </c>
      <c r="C38" s="63">
        <v>0.5625</v>
      </c>
      <c r="D38" s="28">
        <v>0.29167500000000002</v>
      </c>
    </row>
    <row r="39" spans="2:4" x14ac:dyDescent="0.2">
      <c r="B39" s="11" t="s">
        <v>125</v>
      </c>
      <c r="C39" s="63">
        <v>0.625</v>
      </c>
      <c r="D39" s="28">
        <v>0.22917499999999999</v>
      </c>
    </row>
    <row r="40" spans="2:4" x14ac:dyDescent="0.2">
      <c r="B40" s="11" t="s">
        <v>105</v>
      </c>
      <c r="C40" s="63">
        <v>0.72250000000000003</v>
      </c>
      <c r="D40" s="28">
        <v>0.35417499999999991</v>
      </c>
    </row>
    <row r="41" spans="2:4" x14ac:dyDescent="0.2">
      <c r="B41" s="11" t="s">
        <v>127</v>
      </c>
      <c r="C41" s="63">
        <v>0.47917500000000002</v>
      </c>
      <c r="D41" s="28">
        <v>0.14583333333333337</v>
      </c>
    </row>
    <row r="42" spans="2:4" x14ac:dyDescent="0.2">
      <c r="B42" s="11" t="s">
        <v>120</v>
      </c>
      <c r="C42" s="63">
        <v>0.54167500000000002</v>
      </c>
      <c r="D42" s="27">
        <v>0.20833333333333337</v>
      </c>
    </row>
    <row r="43" spans="2:4" x14ac:dyDescent="0.2">
      <c r="B43" s="11" t="s">
        <v>111</v>
      </c>
      <c r="C43" s="63">
        <v>0.45833333333333337</v>
      </c>
      <c r="D43" s="28">
        <v>6.25E-2</v>
      </c>
    </row>
    <row r="44" spans="2:4" x14ac:dyDescent="0.2">
      <c r="B44" s="11" t="s">
        <v>128</v>
      </c>
      <c r="C44" s="63">
        <v>0.8125</v>
      </c>
      <c r="D44" s="27">
        <v>0.5</v>
      </c>
    </row>
    <row r="45" spans="2:4" x14ac:dyDescent="0.2">
      <c r="B45" s="11" t="s">
        <v>110</v>
      </c>
      <c r="C45" s="63">
        <v>0.39583333333333337</v>
      </c>
      <c r="D45" s="28">
        <v>0.35417499999999991</v>
      </c>
    </row>
    <row r="46" spans="2:4" x14ac:dyDescent="0.2">
      <c r="B46" s="11" t="s">
        <v>113</v>
      </c>
      <c r="C46" s="63">
        <v>0.125</v>
      </c>
      <c r="D46" s="28">
        <v>0</v>
      </c>
    </row>
    <row r="47" spans="2:4" x14ac:dyDescent="0.2">
      <c r="B47" s="11" t="s">
        <v>119</v>
      </c>
      <c r="C47" s="63">
        <v>0.625</v>
      </c>
      <c r="D47" s="28">
        <v>0.20833333333333337</v>
      </c>
    </row>
    <row r="48" spans="2:4" x14ac:dyDescent="0.2">
      <c r="B48" s="11" t="s">
        <v>124</v>
      </c>
      <c r="C48" s="63">
        <v>0.75</v>
      </c>
      <c r="D48" s="28">
        <v>0.14583333333333337</v>
      </c>
    </row>
    <row r="49" spans="2:4" x14ac:dyDescent="0.2">
      <c r="B49" s="11" t="s">
        <v>114</v>
      </c>
      <c r="C49" s="63">
        <v>0.27083333333333337</v>
      </c>
      <c r="D49" s="47">
        <v>0.14583333333333337</v>
      </c>
    </row>
    <row r="50" spans="2:4" x14ac:dyDescent="0.2">
      <c r="B50" s="11" t="s">
        <v>86</v>
      </c>
      <c r="C50" s="63">
        <v>0.60417500000000002</v>
      </c>
      <c r="D50" s="47">
        <v>0.22917499999999999</v>
      </c>
    </row>
    <row r="51" spans="2:4" x14ac:dyDescent="0.2">
      <c r="B51" s="11" t="s">
        <v>112</v>
      </c>
      <c r="C51" s="63">
        <v>0.6875</v>
      </c>
      <c r="D51" s="47">
        <v>0.35417499999999991</v>
      </c>
    </row>
    <row r="52" spans="2:4" x14ac:dyDescent="0.2">
      <c r="B52" s="11" t="s">
        <v>115</v>
      </c>
      <c r="C52" s="63">
        <v>0.62500000000000011</v>
      </c>
      <c r="D52" s="47">
        <v>0.29167500000000002</v>
      </c>
    </row>
    <row r="53" spans="2:4" x14ac:dyDescent="0.2">
      <c r="B53" s="11" t="s">
        <v>117</v>
      </c>
      <c r="C53" s="63">
        <v>0.72500000000000009</v>
      </c>
      <c r="D53" s="46">
        <v>0.35417499999999991</v>
      </c>
    </row>
    <row r="54" spans="2:4" x14ac:dyDescent="0.2">
      <c r="B54" s="11" t="s">
        <v>118</v>
      </c>
      <c r="C54" s="63">
        <v>0.625</v>
      </c>
      <c r="D54" s="47">
        <v>0.29167500000000002</v>
      </c>
    </row>
    <row r="55" spans="2:4" x14ac:dyDescent="0.2">
      <c r="B55" s="11" t="s">
        <v>109</v>
      </c>
      <c r="C55" s="63">
        <v>0.625</v>
      </c>
      <c r="D55" s="47">
        <v>0.22917499999999999</v>
      </c>
    </row>
    <row r="56" spans="2:4" x14ac:dyDescent="0.2">
      <c r="B56" s="11" t="s">
        <v>116</v>
      </c>
      <c r="C56" s="63">
        <v>0.60417500000000002</v>
      </c>
      <c r="D56" s="47">
        <v>0.14583333333333337</v>
      </c>
    </row>
    <row r="57" spans="2:4" x14ac:dyDescent="0.2">
      <c r="B57" s="11" t="s">
        <v>121</v>
      </c>
      <c r="C57" s="63">
        <v>0.33333333333333337</v>
      </c>
      <c r="D57" s="46">
        <v>0.22917499999999999</v>
      </c>
    </row>
    <row r="58" spans="2:4" x14ac:dyDescent="0.2">
      <c r="B58" s="11" t="s">
        <v>122</v>
      </c>
      <c r="C58" s="63">
        <v>0.39583333333333337</v>
      </c>
      <c r="D58" s="46">
        <v>0.22917499999999999</v>
      </c>
    </row>
    <row r="59" spans="2:4" ht="16" thickBot="1" x14ac:dyDescent="0.25">
      <c r="B59" s="78" t="s">
        <v>123</v>
      </c>
      <c r="C59" s="63">
        <v>0.54167500000000002</v>
      </c>
      <c r="D59" s="47">
        <v>0.14583333333333337</v>
      </c>
    </row>
    <row r="61" spans="2:4" x14ac:dyDescent="0.2">
      <c r="B61" s="2" t="s">
        <v>129</v>
      </c>
    </row>
    <row r="63" spans="2:4" ht="29" thickBot="1" x14ac:dyDescent="0.25">
      <c r="B63" s="31" t="s">
        <v>1</v>
      </c>
      <c r="C63" s="31" t="s">
        <v>93</v>
      </c>
    </row>
    <row r="64" spans="2:4" x14ac:dyDescent="0.2">
      <c r="B64" s="34" t="s">
        <v>53</v>
      </c>
      <c r="C64" s="139">
        <v>0.56639444444444442</v>
      </c>
      <c r="D64" s="59">
        <f>AVERAGE(C65:C73)</f>
        <v>0.56639444444444442</v>
      </c>
    </row>
    <row r="65" spans="2:4" x14ac:dyDescent="0.2">
      <c r="B65" s="60" t="s">
        <v>105</v>
      </c>
      <c r="C65" s="32">
        <v>0.72250000000000003</v>
      </c>
    </row>
    <row r="66" spans="2:4" x14ac:dyDescent="0.2">
      <c r="B66" s="61" t="s">
        <v>125</v>
      </c>
      <c r="C66" s="58">
        <v>0.625</v>
      </c>
    </row>
    <row r="67" spans="2:4" x14ac:dyDescent="0.2">
      <c r="B67" s="60" t="s">
        <v>104</v>
      </c>
      <c r="C67" s="32">
        <v>0.5625</v>
      </c>
    </row>
    <row r="68" spans="2:4" x14ac:dyDescent="0.2">
      <c r="B68" s="61" t="s">
        <v>103</v>
      </c>
      <c r="C68" s="58">
        <v>0.54167500000000002</v>
      </c>
    </row>
    <row r="69" spans="2:4" x14ac:dyDescent="0.2">
      <c r="B69" s="60" t="s">
        <v>132</v>
      </c>
      <c r="C69" s="32">
        <v>0.54167500000000002</v>
      </c>
    </row>
    <row r="70" spans="2:4" x14ac:dyDescent="0.2">
      <c r="B70" s="61" t="s">
        <v>107</v>
      </c>
      <c r="C70" s="58">
        <v>0.54167500000000002</v>
      </c>
    </row>
    <row r="71" spans="2:4" x14ac:dyDescent="0.2">
      <c r="B71" s="60" t="s">
        <v>108</v>
      </c>
      <c r="C71" s="32">
        <v>0.54167500000000002</v>
      </c>
    </row>
    <row r="72" spans="2:4" x14ac:dyDescent="0.2">
      <c r="B72" s="61" t="s">
        <v>126</v>
      </c>
      <c r="C72" s="58">
        <v>0.54167500000000002</v>
      </c>
    </row>
    <row r="73" spans="2:4" x14ac:dyDescent="0.2">
      <c r="B73" s="60" t="s">
        <v>127</v>
      </c>
      <c r="C73" s="32">
        <v>0.47917500000000002</v>
      </c>
    </row>
    <row r="74" spans="2:4" x14ac:dyDescent="0.2">
      <c r="B74" s="34" t="s">
        <v>55</v>
      </c>
      <c r="C74" s="140">
        <v>0.56500166666666674</v>
      </c>
      <c r="D74" s="59">
        <f>AVERAGE(C75:C89)</f>
        <v>0.56500166666666662</v>
      </c>
    </row>
    <row r="75" spans="2:4" x14ac:dyDescent="0.2">
      <c r="B75" s="60" t="s">
        <v>128</v>
      </c>
      <c r="C75" s="32">
        <v>0.8125</v>
      </c>
    </row>
    <row r="76" spans="2:4" x14ac:dyDescent="0.2">
      <c r="B76" s="61" t="s">
        <v>124</v>
      </c>
      <c r="C76" s="58">
        <v>0.75</v>
      </c>
    </row>
    <row r="77" spans="2:4" x14ac:dyDescent="0.2">
      <c r="B77" s="60" t="s">
        <v>117</v>
      </c>
      <c r="C77" s="32">
        <v>0.72500000000000009</v>
      </c>
    </row>
    <row r="78" spans="2:4" x14ac:dyDescent="0.2">
      <c r="B78" s="61" t="s">
        <v>112</v>
      </c>
      <c r="C78" s="58">
        <v>0.6875</v>
      </c>
    </row>
    <row r="79" spans="2:4" x14ac:dyDescent="0.2">
      <c r="B79" s="60" t="s">
        <v>115</v>
      </c>
      <c r="C79" s="32">
        <v>0.62500000000000011</v>
      </c>
    </row>
    <row r="80" spans="2:4" x14ac:dyDescent="0.2">
      <c r="B80" s="61" t="s">
        <v>119</v>
      </c>
      <c r="C80" s="58">
        <v>0.625</v>
      </c>
    </row>
    <row r="81" spans="2:4" x14ac:dyDescent="0.2">
      <c r="B81" s="60" t="s">
        <v>118</v>
      </c>
      <c r="C81" s="32">
        <v>0.625</v>
      </c>
    </row>
    <row r="82" spans="2:4" x14ac:dyDescent="0.2">
      <c r="B82" s="61" t="s">
        <v>109</v>
      </c>
      <c r="C82" s="58">
        <v>0.625</v>
      </c>
    </row>
    <row r="83" spans="2:4" x14ac:dyDescent="0.2">
      <c r="B83" s="60" t="s">
        <v>86</v>
      </c>
      <c r="C83" s="32">
        <v>0.60417500000000002</v>
      </c>
    </row>
    <row r="84" spans="2:4" x14ac:dyDescent="0.2">
      <c r="B84" s="61" t="s">
        <v>116</v>
      </c>
      <c r="C84" s="58">
        <v>0.60417500000000002</v>
      </c>
    </row>
    <row r="85" spans="2:4" x14ac:dyDescent="0.2">
      <c r="B85" s="60" t="s">
        <v>120</v>
      </c>
      <c r="C85" s="32">
        <v>0.54167500000000002</v>
      </c>
    </row>
    <row r="86" spans="2:4" x14ac:dyDescent="0.2">
      <c r="B86" s="61" t="s">
        <v>111</v>
      </c>
      <c r="C86" s="58">
        <v>0.45833333333333337</v>
      </c>
    </row>
    <row r="87" spans="2:4" x14ac:dyDescent="0.2">
      <c r="B87" s="60" t="s">
        <v>110</v>
      </c>
      <c r="C87" s="32">
        <v>0.39583333333333337</v>
      </c>
    </row>
    <row r="88" spans="2:4" x14ac:dyDescent="0.2">
      <c r="B88" s="61" t="s">
        <v>114</v>
      </c>
      <c r="C88" s="58">
        <v>0.27083333333333337</v>
      </c>
    </row>
    <row r="89" spans="2:4" x14ac:dyDescent="0.2">
      <c r="B89" s="60" t="s">
        <v>113</v>
      </c>
      <c r="C89" s="32">
        <v>0.125</v>
      </c>
    </row>
    <row r="90" spans="2:4" x14ac:dyDescent="0.2">
      <c r="B90" s="34" t="s">
        <v>75</v>
      </c>
      <c r="C90" s="140">
        <v>0.4236138888888889</v>
      </c>
      <c r="D90" s="59">
        <f>AVERAGE(C91:C93)</f>
        <v>0.4236138888888889</v>
      </c>
    </row>
    <row r="91" spans="2:4" x14ac:dyDescent="0.2">
      <c r="B91" s="38" t="s">
        <v>123</v>
      </c>
      <c r="C91" s="32">
        <v>0.54167500000000002</v>
      </c>
    </row>
    <row r="92" spans="2:4" x14ac:dyDescent="0.2">
      <c r="B92" s="39" t="s">
        <v>122</v>
      </c>
      <c r="C92" s="58">
        <v>0.39583333333333337</v>
      </c>
    </row>
    <row r="93" spans="2:4" x14ac:dyDescent="0.2">
      <c r="B93" s="38" t="s">
        <v>121</v>
      </c>
      <c r="C93" s="32">
        <v>0.33333333333333337</v>
      </c>
    </row>
    <row r="96" spans="2:4" x14ac:dyDescent="0.2">
      <c r="B96" s="4" t="s">
        <v>130</v>
      </c>
    </row>
    <row r="98" spans="2:4" ht="43.5" customHeight="1" thickBot="1" x14ac:dyDescent="0.25">
      <c r="B98" s="31" t="s">
        <v>1</v>
      </c>
      <c r="C98" s="31" t="s">
        <v>93</v>
      </c>
    </row>
    <row r="99" spans="2:4" x14ac:dyDescent="0.2">
      <c r="B99" s="34" t="s">
        <v>53</v>
      </c>
      <c r="C99" s="142">
        <v>0.22222777777777777</v>
      </c>
      <c r="D99" s="59">
        <f>AVERAGE(C100:C108)</f>
        <v>0.22222777777777777</v>
      </c>
    </row>
    <row r="100" spans="2:4" x14ac:dyDescent="0.2">
      <c r="B100" s="60" t="s">
        <v>105</v>
      </c>
      <c r="C100" s="32">
        <v>0.35417499999999991</v>
      </c>
    </row>
    <row r="101" spans="2:4" x14ac:dyDescent="0.2">
      <c r="B101" s="61" t="s">
        <v>104</v>
      </c>
      <c r="C101" s="58">
        <v>0.29167500000000002</v>
      </c>
    </row>
    <row r="102" spans="2:4" x14ac:dyDescent="0.2">
      <c r="B102" s="60" t="s">
        <v>125</v>
      </c>
      <c r="C102" s="32">
        <v>0.22917499999999999</v>
      </c>
    </row>
    <row r="103" spans="2:4" x14ac:dyDescent="0.2">
      <c r="B103" s="61" t="s">
        <v>132</v>
      </c>
      <c r="C103" s="58">
        <v>0.22917499999999999</v>
      </c>
    </row>
    <row r="104" spans="2:4" x14ac:dyDescent="0.2">
      <c r="B104" s="60" t="s">
        <v>107</v>
      </c>
      <c r="C104" s="32">
        <v>0.22917499999999999</v>
      </c>
    </row>
    <row r="105" spans="2:4" x14ac:dyDescent="0.2">
      <c r="B105" s="61" t="s">
        <v>108</v>
      </c>
      <c r="C105" s="58">
        <v>0.22917499999999999</v>
      </c>
    </row>
    <row r="106" spans="2:4" x14ac:dyDescent="0.2">
      <c r="B106" s="60" t="s">
        <v>127</v>
      </c>
      <c r="C106" s="32">
        <v>0.14583333333333337</v>
      </c>
    </row>
    <row r="107" spans="2:4" x14ac:dyDescent="0.2">
      <c r="B107" s="61" t="s">
        <v>103</v>
      </c>
      <c r="C107" s="58">
        <v>0.14583333333333337</v>
      </c>
    </row>
    <row r="108" spans="2:4" x14ac:dyDescent="0.2">
      <c r="B108" s="60" t="s">
        <v>126</v>
      </c>
      <c r="C108" s="32">
        <v>0.14583333333333337</v>
      </c>
    </row>
    <row r="109" spans="2:4" x14ac:dyDescent="0.2">
      <c r="B109" s="34" t="s">
        <v>55</v>
      </c>
      <c r="C109" s="64">
        <v>0.23472611111111114</v>
      </c>
      <c r="D109" s="59">
        <f>AVERAGE(C110:C124)</f>
        <v>0.23472611111111116</v>
      </c>
    </row>
    <row r="110" spans="2:4" x14ac:dyDescent="0.2">
      <c r="B110" s="60" t="s">
        <v>128</v>
      </c>
      <c r="C110" s="32">
        <v>0.5</v>
      </c>
    </row>
    <row r="111" spans="2:4" x14ac:dyDescent="0.2">
      <c r="B111" s="61" t="s">
        <v>117</v>
      </c>
      <c r="C111" s="58">
        <v>0.35417499999999991</v>
      </c>
    </row>
    <row r="112" spans="2:4" x14ac:dyDescent="0.2">
      <c r="B112" s="60" t="s">
        <v>112</v>
      </c>
      <c r="C112" s="32">
        <v>0.35417499999999991</v>
      </c>
    </row>
    <row r="113" spans="2:4" x14ac:dyDescent="0.2">
      <c r="B113" s="61" t="s">
        <v>110</v>
      </c>
      <c r="C113" s="58">
        <v>0.35417499999999991</v>
      </c>
    </row>
    <row r="114" spans="2:4" x14ac:dyDescent="0.2">
      <c r="B114" s="60" t="s">
        <v>115</v>
      </c>
      <c r="C114" s="32">
        <v>0.29167500000000002</v>
      </c>
    </row>
    <row r="115" spans="2:4" x14ac:dyDescent="0.2">
      <c r="B115" s="61" t="s">
        <v>118</v>
      </c>
      <c r="C115" s="58">
        <v>0.29167500000000002</v>
      </c>
    </row>
    <row r="116" spans="2:4" x14ac:dyDescent="0.2">
      <c r="B116" s="60" t="s">
        <v>109</v>
      </c>
      <c r="C116" s="32">
        <v>0.22917499999999999</v>
      </c>
    </row>
    <row r="117" spans="2:4" x14ac:dyDescent="0.2">
      <c r="B117" s="61" t="s">
        <v>86</v>
      </c>
      <c r="C117" s="58">
        <v>0.22917499999999999</v>
      </c>
    </row>
    <row r="118" spans="2:4" x14ac:dyDescent="0.2">
      <c r="B118" s="60" t="s">
        <v>119</v>
      </c>
      <c r="C118" s="32">
        <v>0.20833333333333337</v>
      </c>
    </row>
    <row r="119" spans="2:4" x14ac:dyDescent="0.2">
      <c r="B119" s="61" t="s">
        <v>120</v>
      </c>
      <c r="C119" s="58">
        <v>0.20833333333333337</v>
      </c>
    </row>
    <row r="120" spans="2:4" x14ac:dyDescent="0.2">
      <c r="B120" s="60" t="s">
        <v>116</v>
      </c>
      <c r="C120" s="32">
        <v>0.14583333333333337</v>
      </c>
    </row>
    <row r="121" spans="2:4" x14ac:dyDescent="0.2">
      <c r="B121" s="61" t="s">
        <v>124</v>
      </c>
      <c r="C121" s="58">
        <v>0.14583333333333337</v>
      </c>
    </row>
    <row r="122" spans="2:4" x14ac:dyDescent="0.2">
      <c r="B122" s="60" t="s">
        <v>114</v>
      </c>
      <c r="C122" s="32">
        <v>0.14583333333333337</v>
      </c>
    </row>
    <row r="123" spans="2:4" x14ac:dyDescent="0.2">
      <c r="B123" s="61" t="s">
        <v>111</v>
      </c>
      <c r="C123" s="58">
        <v>6.25E-2</v>
      </c>
    </row>
    <row r="124" spans="2:4" x14ac:dyDescent="0.2">
      <c r="B124" s="60" t="s">
        <v>113</v>
      </c>
      <c r="C124" s="32">
        <v>0</v>
      </c>
    </row>
    <row r="125" spans="2:4" x14ac:dyDescent="0.2">
      <c r="B125" s="34" t="s">
        <v>75</v>
      </c>
      <c r="C125" s="64">
        <v>0.20139444444444443</v>
      </c>
      <c r="D125" s="59">
        <f>AVERAGE(C126:C128)</f>
        <v>0.20139444444444443</v>
      </c>
    </row>
    <row r="126" spans="2:4" x14ac:dyDescent="0.2">
      <c r="B126" s="60" t="s">
        <v>121</v>
      </c>
      <c r="C126" s="144">
        <v>0.22917499999999999</v>
      </c>
    </row>
    <row r="127" spans="2:4" x14ac:dyDescent="0.2">
      <c r="B127" s="61" t="s">
        <v>122</v>
      </c>
      <c r="C127" s="145">
        <v>0.22917499999999999</v>
      </c>
    </row>
    <row r="128" spans="2:4" x14ac:dyDescent="0.2">
      <c r="B128" s="60" t="s">
        <v>123</v>
      </c>
      <c r="C128" s="144">
        <v>0.14583333333333337</v>
      </c>
    </row>
  </sheetData>
  <autoFilter ref="B109:C124" xr:uid="{85F11A8A-7537-41FB-BECC-FF872553BF36}">
    <sortState xmlns:xlrd2="http://schemas.microsoft.com/office/spreadsheetml/2017/richdata2" ref="B110:C124">
      <sortCondition descending="1" ref="C110:C124"/>
    </sortState>
  </autoFilter>
  <sortState xmlns:xlrd2="http://schemas.microsoft.com/office/spreadsheetml/2017/richdata2" ref="B100:C108">
    <sortCondition descending="1" ref="C100:C108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2024-2025</vt:lpstr>
      <vt:lpstr>DATA24</vt:lpstr>
      <vt:lpstr>DINAMICA</vt:lpstr>
      <vt:lpstr>DINM_25</vt:lpstr>
      <vt:lpstr>resultados</vt:lpstr>
      <vt:lpstr>ENTORNO</vt:lpstr>
      <vt:lpstr>INFRAESTRUCTURA</vt:lpstr>
      <vt:lpstr>METOD_ESTAD</vt:lpstr>
      <vt:lpstr>ACCESIBILIDAD Y USO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Libreros</dc:creator>
  <cp:lastModifiedBy>Jeniffer Gallego González</cp:lastModifiedBy>
  <dcterms:created xsi:type="dcterms:W3CDTF">2024-12-11T02:01:36Z</dcterms:created>
  <dcterms:modified xsi:type="dcterms:W3CDTF">2026-04-17T20:47:26Z</dcterms:modified>
</cp:coreProperties>
</file>