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nta\OneDrive\Escritorio\CAM\Documentación 2026 Enero\Cuenta de cobro\Soportes - documentos\Soportes cuota 2\"/>
    </mc:Choice>
  </mc:AlternateContent>
  <xr:revisionPtr revIDLastSave="0" documentId="13_ncr:1_{CD49C9AE-BD98-4AC4-8A3C-7F540CCC7F1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esagregado" sheetId="3" r:id="rId1"/>
    <sheet name="Agregada" sheetId="2" r:id="rId2"/>
    <sheet name="Diccionario" sheetId="4" r:id="rId3"/>
    <sheet name=" OM | Calculo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2" i="1" l="1"/>
  <c r="AN32" i="1" s="1"/>
  <c r="AM32" i="1"/>
  <c r="AO32" i="1"/>
  <c r="AP32" i="1"/>
  <c r="AQ32" i="1"/>
  <c r="AL33" i="1"/>
  <c r="AM33" i="1"/>
  <c r="AN33" i="1"/>
  <c r="AO33" i="1"/>
  <c r="AP33" i="1"/>
  <c r="AQ33" i="1"/>
  <c r="AL34" i="1"/>
  <c r="AN34" i="1" s="1"/>
  <c r="AM34" i="1"/>
  <c r="AO34" i="1"/>
  <c r="AP34" i="1"/>
  <c r="AQ34" i="1"/>
  <c r="AL35" i="1"/>
  <c r="AM35" i="1"/>
  <c r="AN35" i="1" s="1"/>
  <c r="AO35" i="1"/>
  <c r="AP35" i="1"/>
  <c r="AQ35" i="1"/>
  <c r="AL36" i="1"/>
  <c r="AN36" i="1" s="1"/>
  <c r="AM36" i="1"/>
  <c r="AO36" i="1"/>
  <c r="AP36" i="1"/>
  <c r="AQ36" i="1"/>
  <c r="AL37" i="1"/>
  <c r="AM37" i="1"/>
  <c r="AN37" i="1" s="1"/>
  <c r="AO37" i="1"/>
  <c r="AP37" i="1"/>
  <c r="AQ37" i="1"/>
  <c r="AL38" i="1"/>
  <c r="AN38" i="1" s="1"/>
  <c r="AM38" i="1"/>
  <c r="AO38" i="1"/>
  <c r="AP38" i="1"/>
  <c r="AQ38" i="1"/>
  <c r="AL39" i="1"/>
  <c r="AM39" i="1"/>
  <c r="AN39" i="1" s="1"/>
  <c r="AO39" i="1"/>
  <c r="AP39" i="1"/>
  <c r="AQ39" i="1"/>
  <c r="AL40" i="1"/>
  <c r="AN40" i="1" s="1"/>
  <c r="AM40" i="1"/>
  <c r="AO40" i="1"/>
  <c r="AP40" i="1"/>
  <c r="AQ40" i="1"/>
  <c r="AL41" i="1"/>
  <c r="AM41" i="1"/>
  <c r="AN41" i="1" s="1"/>
  <c r="AO41" i="1"/>
  <c r="AP41" i="1"/>
  <c r="AQ41" i="1"/>
  <c r="AL42" i="1"/>
  <c r="AN42" i="1" s="1"/>
  <c r="AM42" i="1"/>
  <c r="AO42" i="1"/>
  <c r="AP42" i="1"/>
  <c r="AQ42" i="1"/>
  <c r="AL43" i="1"/>
  <c r="AM43" i="1"/>
  <c r="AN43" i="1" s="1"/>
  <c r="AO43" i="1"/>
  <c r="AP43" i="1"/>
  <c r="AQ43" i="1"/>
  <c r="AL44" i="1"/>
  <c r="AN44" i="1" s="1"/>
  <c r="AM44" i="1"/>
  <c r="AO44" i="1"/>
  <c r="AP44" i="1"/>
  <c r="AQ44" i="1"/>
  <c r="AL45" i="1"/>
  <c r="AM45" i="1"/>
  <c r="AN45" i="1" s="1"/>
  <c r="AO45" i="1"/>
  <c r="AP45" i="1"/>
  <c r="AQ45" i="1"/>
  <c r="AL46" i="1"/>
  <c r="AN46" i="1" s="1"/>
  <c r="AM46" i="1"/>
  <c r="AO46" i="1"/>
  <c r="AP46" i="1"/>
  <c r="AQ46" i="1"/>
  <c r="AL47" i="1"/>
  <c r="AM47" i="1"/>
  <c r="AN47" i="1" s="1"/>
  <c r="AO47" i="1"/>
  <c r="AP47" i="1"/>
  <c r="AQ47" i="1"/>
  <c r="AL48" i="1"/>
  <c r="AN48" i="1" s="1"/>
  <c r="AM48" i="1"/>
  <c r="AO48" i="1"/>
  <c r="AP48" i="1"/>
  <c r="AQ48" i="1"/>
  <c r="AL49" i="1"/>
  <c r="AM49" i="1"/>
  <c r="AN49" i="1" s="1"/>
  <c r="AO49" i="1"/>
  <c r="AP49" i="1"/>
  <c r="AQ49" i="1"/>
  <c r="AL50" i="1"/>
  <c r="AN50" i="1" s="1"/>
  <c r="AM50" i="1"/>
  <c r="AO50" i="1"/>
  <c r="AP50" i="1"/>
  <c r="AQ50" i="1"/>
  <c r="AL51" i="1"/>
  <c r="AM51" i="1"/>
  <c r="AN51" i="1"/>
  <c r="AO51" i="1"/>
  <c r="AP51" i="1"/>
  <c r="AQ51" i="1"/>
  <c r="AL52" i="1"/>
  <c r="AN52" i="1" s="1"/>
  <c r="AM52" i="1"/>
  <c r="AO52" i="1"/>
  <c r="AP52" i="1"/>
  <c r="AQ52" i="1"/>
  <c r="AL53" i="1"/>
  <c r="AM53" i="1"/>
  <c r="AN53" i="1" s="1"/>
  <c r="AO53" i="1"/>
  <c r="AP53" i="1"/>
  <c r="AQ53" i="1"/>
  <c r="AL54" i="1"/>
  <c r="AN54" i="1" s="1"/>
  <c r="AM54" i="1"/>
  <c r="AO54" i="1"/>
  <c r="AP54" i="1"/>
  <c r="AQ54" i="1"/>
  <c r="AL55" i="1"/>
  <c r="AM55" i="1"/>
  <c r="AN55" i="1" s="1"/>
  <c r="AO55" i="1"/>
  <c r="AP55" i="1"/>
  <c r="AQ55" i="1"/>
  <c r="AL56" i="1"/>
  <c r="AN56" i="1" s="1"/>
  <c r="AM56" i="1"/>
  <c r="AO56" i="1"/>
  <c r="AP56" i="1"/>
  <c r="AQ56" i="1"/>
  <c r="AL57" i="1"/>
  <c r="AM57" i="1"/>
  <c r="AN57" i="1" s="1"/>
  <c r="AO57" i="1"/>
  <c r="AP57" i="1"/>
  <c r="AQ57" i="1"/>
  <c r="AL58" i="1"/>
  <c r="AN58" i="1" s="1"/>
  <c r="AM58" i="1"/>
  <c r="AO58" i="1"/>
  <c r="AP58" i="1"/>
  <c r="AQ58" i="1"/>
  <c r="AL59" i="1"/>
  <c r="AM59" i="1"/>
  <c r="AN59" i="1" s="1"/>
  <c r="AO59" i="1"/>
  <c r="AP59" i="1"/>
  <c r="AQ59" i="1"/>
  <c r="AL60" i="1"/>
  <c r="AN60" i="1" s="1"/>
  <c r="AM60" i="1"/>
  <c r="AO60" i="1"/>
  <c r="AP60" i="1"/>
  <c r="AQ60" i="1"/>
  <c r="AL61" i="1"/>
  <c r="AM61" i="1"/>
  <c r="AN61" i="1" s="1"/>
  <c r="AO61" i="1"/>
  <c r="AP61" i="1"/>
  <c r="AQ61" i="1"/>
  <c r="AL62" i="1"/>
  <c r="AN62" i="1" s="1"/>
  <c r="AM62" i="1"/>
  <c r="AO62" i="1"/>
  <c r="AP62" i="1"/>
  <c r="AQ62" i="1"/>
  <c r="AL63" i="1"/>
  <c r="AM63" i="1"/>
  <c r="AN63" i="1" s="1"/>
  <c r="AO63" i="1"/>
  <c r="AP63" i="1"/>
  <c r="AQ63" i="1"/>
  <c r="AL64" i="1"/>
  <c r="AN64" i="1" s="1"/>
  <c r="AM64" i="1"/>
  <c r="AO64" i="1"/>
  <c r="AP64" i="1"/>
  <c r="AQ64" i="1"/>
  <c r="AL65" i="1"/>
  <c r="AM65" i="1"/>
  <c r="AN65" i="1" s="1"/>
  <c r="AO65" i="1"/>
  <c r="AP65" i="1"/>
  <c r="AQ65" i="1"/>
  <c r="AL66" i="1"/>
  <c r="AN66" i="1" s="1"/>
  <c r="AM66" i="1"/>
  <c r="AO66" i="1"/>
  <c r="AP66" i="1"/>
  <c r="AQ66" i="1"/>
  <c r="AL67" i="1"/>
  <c r="AM67" i="1"/>
  <c r="AN67" i="1" s="1"/>
  <c r="AO67" i="1"/>
  <c r="AP67" i="1"/>
  <c r="AQ67" i="1"/>
  <c r="AL68" i="1"/>
  <c r="AN68" i="1" s="1"/>
  <c r="AM68" i="1"/>
  <c r="AO68" i="1"/>
  <c r="AP68" i="1"/>
  <c r="AQ68" i="1"/>
  <c r="AL69" i="1"/>
  <c r="AM69" i="1"/>
  <c r="AN69" i="1" s="1"/>
  <c r="AO69" i="1"/>
  <c r="AP69" i="1"/>
  <c r="AQ69" i="1"/>
  <c r="AL70" i="1"/>
  <c r="AN70" i="1" s="1"/>
  <c r="AM70" i="1"/>
  <c r="AO70" i="1"/>
  <c r="AP70" i="1"/>
  <c r="AQ70" i="1"/>
  <c r="AL71" i="1"/>
  <c r="AM71" i="1"/>
  <c r="AN71" i="1" s="1"/>
  <c r="AO71" i="1"/>
  <c r="AP71" i="1"/>
  <c r="AQ71" i="1"/>
  <c r="AL72" i="1"/>
  <c r="AN72" i="1" s="1"/>
  <c r="AM72" i="1"/>
  <c r="AO72" i="1"/>
  <c r="AP72" i="1"/>
  <c r="AQ72" i="1"/>
  <c r="AL73" i="1"/>
  <c r="AM73" i="1"/>
  <c r="AN73" i="1" s="1"/>
  <c r="AO73" i="1"/>
  <c r="AP73" i="1"/>
  <c r="AQ73" i="1"/>
  <c r="AL74" i="1"/>
  <c r="AN74" i="1" s="1"/>
  <c r="AM74" i="1"/>
  <c r="AO74" i="1"/>
  <c r="AP74" i="1"/>
  <c r="AQ74" i="1"/>
  <c r="AL75" i="1"/>
  <c r="AM75" i="1"/>
  <c r="AN75" i="1" s="1"/>
  <c r="AO75" i="1"/>
  <c r="AP75" i="1"/>
  <c r="AQ75" i="1"/>
  <c r="AL76" i="1"/>
  <c r="AN76" i="1" s="1"/>
  <c r="AM76" i="1"/>
  <c r="AO76" i="1"/>
  <c r="AP76" i="1"/>
  <c r="AQ76" i="1"/>
  <c r="AL77" i="1"/>
  <c r="AM77" i="1"/>
  <c r="AN77" i="1" s="1"/>
  <c r="AO77" i="1"/>
  <c r="AP77" i="1"/>
  <c r="AQ77" i="1"/>
  <c r="AL78" i="1"/>
  <c r="AN78" i="1" s="1"/>
  <c r="AM78" i="1"/>
  <c r="AO78" i="1"/>
  <c r="AP78" i="1"/>
  <c r="AQ78" i="1"/>
  <c r="AL79" i="1"/>
  <c r="AM79" i="1"/>
  <c r="AN79" i="1" s="1"/>
  <c r="AO79" i="1"/>
  <c r="AP79" i="1"/>
  <c r="AQ79" i="1"/>
  <c r="AL80" i="1"/>
  <c r="AN80" i="1" s="1"/>
  <c r="AM80" i="1"/>
  <c r="AO80" i="1"/>
  <c r="AP80" i="1"/>
  <c r="AQ80" i="1"/>
  <c r="AL81" i="1"/>
  <c r="AM81" i="1"/>
  <c r="AN81" i="1" s="1"/>
  <c r="AO81" i="1"/>
  <c r="AP81" i="1"/>
  <c r="AQ81" i="1"/>
  <c r="AL82" i="1"/>
  <c r="AN82" i="1" s="1"/>
  <c r="AM82" i="1"/>
  <c r="AO82" i="1"/>
  <c r="AP82" i="1"/>
  <c r="AQ82" i="1"/>
  <c r="AL83" i="1"/>
  <c r="AM83" i="1"/>
  <c r="AN83" i="1" s="1"/>
  <c r="AO83" i="1"/>
  <c r="AP83" i="1"/>
  <c r="AQ83" i="1"/>
  <c r="AL84" i="1"/>
  <c r="AN84" i="1" s="1"/>
  <c r="AM84" i="1"/>
  <c r="AO84" i="1"/>
  <c r="AP84" i="1"/>
  <c r="AQ84" i="1"/>
  <c r="AL85" i="1"/>
  <c r="AM85" i="1"/>
  <c r="AN85" i="1" s="1"/>
  <c r="AO85" i="1"/>
  <c r="AP85" i="1"/>
  <c r="AQ85" i="1"/>
  <c r="AL86" i="1"/>
  <c r="AN86" i="1" s="1"/>
  <c r="AM86" i="1"/>
  <c r="AO86" i="1"/>
  <c r="AP86" i="1"/>
  <c r="AQ86" i="1"/>
  <c r="AL87" i="1"/>
  <c r="AM87" i="1"/>
  <c r="AN87" i="1"/>
  <c r="AO87" i="1"/>
  <c r="AP87" i="1"/>
  <c r="AQ87" i="1"/>
  <c r="AL88" i="1"/>
  <c r="AN88" i="1" s="1"/>
  <c r="AM88" i="1"/>
  <c r="AO88" i="1"/>
  <c r="AP88" i="1"/>
  <c r="AQ88" i="1"/>
  <c r="AL89" i="1"/>
  <c r="AM89" i="1"/>
  <c r="AN89" i="1"/>
  <c r="AO89" i="1"/>
  <c r="AP89" i="1"/>
  <c r="AQ89" i="1"/>
  <c r="AL90" i="1"/>
  <c r="AN90" i="1" s="1"/>
  <c r="AM90" i="1"/>
  <c r="AO90" i="1"/>
  <c r="AP90" i="1"/>
  <c r="AQ90" i="1"/>
  <c r="AL91" i="1"/>
  <c r="AM91" i="1"/>
  <c r="AN91" i="1" s="1"/>
  <c r="AO91" i="1"/>
  <c r="AP91" i="1"/>
  <c r="AQ91" i="1"/>
  <c r="AL92" i="1"/>
  <c r="AN92" i="1" s="1"/>
  <c r="AM92" i="1"/>
  <c r="AO92" i="1"/>
  <c r="AP92" i="1"/>
  <c r="AQ92" i="1"/>
  <c r="AL93" i="1"/>
  <c r="AM93" i="1"/>
  <c r="AN93" i="1" s="1"/>
  <c r="AO93" i="1"/>
  <c r="AP93" i="1"/>
  <c r="AQ93" i="1"/>
  <c r="AL94" i="1"/>
  <c r="AN94" i="1" s="1"/>
  <c r="AM94" i="1"/>
  <c r="AO94" i="1"/>
  <c r="AP94" i="1"/>
  <c r="AQ94" i="1"/>
  <c r="AL95" i="1"/>
  <c r="AM95" i="1"/>
  <c r="AN95" i="1"/>
  <c r="AO95" i="1"/>
  <c r="AP95" i="1"/>
  <c r="AQ95" i="1"/>
  <c r="AL96" i="1"/>
  <c r="AN96" i="1" s="1"/>
  <c r="AM96" i="1"/>
  <c r="AO96" i="1"/>
  <c r="AP96" i="1"/>
  <c r="AQ96" i="1"/>
  <c r="AL97" i="1"/>
  <c r="AM97" i="1"/>
  <c r="AN97" i="1" s="1"/>
  <c r="AO97" i="1"/>
  <c r="AP97" i="1"/>
  <c r="AQ97" i="1"/>
  <c r="AL98" i="1"/>
  <c r="AN98" i="1" s="1"/>
  <c r="AM98" i="1"/>
  <c r="AO98" i="1"/>
  <c r="AP98" i="1"/>
  <c r="AQ98" i="1"/>
  <c r="AL99" i="1"/>
  <c r="AM99" i="1"/>
  <c r="AN99" i="1" s="1"/>
  <c r="AO99" i="1"/>
  <c r="AP99" i="1"/>
  <c r="AQ99" i="1"/>
  <c r="AL100" i="1"/>
  <c r="AN100" i="1" s="1"/>
  <c r="AM100" i="1"/>
  <c r="AO100" i="1"/>
  <c r="AP100" i="1"/>
  <c r="AQ100" i="1"/>
  <c r="AL101" i="1"/>
  <c r="AM101" i="1"/>
  <c r="AN101" i="1" s="1"/>
  <c r="AO101" i="1"/>
  <c r="AP101" i="1"/>
  <c r="AQ101" i="1"/>
  <c r="AL102" i="1"/>
  <c r="AN102" i="1" s="1"/>
  <c r="AM102" i="1"/>
  <c r="AO102" i="1"/>
  <c r="AP102" i="1"/>
  <c r="AQ102" i="1"/>
  <c r="AL103" i="1"/>
  <c r="AM103" i="1"/>
  <c r="AN103" i="1" s="1"/>
  <c r="AO103" i="1"/>
  <c r="AP103" i="1"/>
  <c r="AQ103" i="1"/>
  <c r="AL104" i="1"/>
  <c r="AN104" i="1" s="1"/>
  <c r="AM104" i="1"/>
  <c r="AO104" i="1"/>
  <c r="AP104" i="1"/>
  <c r="AQ104" i="1"/>
  <c r="AL105" i="1"/>
  <c r="AM105" i="1"/>
  <c r="AN105" i="1" s="1"/>
  <c r="AO105" i="1"/>
  <c r="AP105" i="1"/>
  <c r="AQ105" i="1"/>
  <c r="AL106" i="1"/>
  <c r="AN106" i="1" s="1"/>
  <c r="AM106" i="1"/>
  <c r="AO106" i="1"/>
  <c r="AP106" i="1"/>
  <c r="AQ106" i="1"/>
  <c r="AL107" i="1"/>
  <c r="AM107" i="1"/>
  <c r="AN107" i="1" s="1"/>
  <c r="AO107" i="1"/>
  <c r="AP107" i="1"/>
  <c r="AQ107" i="1"/>
  <c r="AL108" i="1"/>
  <c r="AN108" i="1" s="1"/>
  <c r="AM108" i="1"/>
  <c r="AO108" i="1"/>
  <c r="AP108" i="1"/>
  <c r="AQ108" i="1"/>
  <c r="AL109" i="1"/>
  <c r="AM109" i="1"/>
  <c r="AN109" i="1" s="1"/>
  <c r="AO109" i="1"/>
  <c r="AP109" i="1"/>
  <c r="AQ109" i="1"/>
  <c r="AL110" i="1"/>
  <c r="AN110" i="1" s="1"/>
  <c r="AM110" i="1"/>
  <c r="AO110" i="1"/>
  <c r="AP110" i="1"/>
  <c r="AQ110" i="1"/>
  <c r="AL111" i="1"/>
  <c r="AM111" i="1"/>
  <c r="AN111" i="1" s="1"/>
  <c r="AO111" i="1"/>
  <c r="AP111" i="1"/>
  <c r="AQ111" i="1"/>
  <c r="AL112" i="1"/>
  <c r="AN112" i="1" s="1"/>
  <c r="AM112" i="1"/>
  <c r="AO112" i="1"/>
  <c r="AP112" i="1"/>
  <c r="AQ112" i="1"/>
  <c r="AL113" i="1"/>
  <c r="AM113" i="1"/>
  <c r="AN113" i="1" s="1"/>
  <c r="AO113" i="1"/>
  <c r="AP113" i="1"/>
  <c r="AQ113" i="1"/>
  <c r="AL114" i="1"/>
  <c r="AN114" i="1" s="1"/>
  <c r="AM114" i="1"/>
  <c r="AO114" i="1"/>
  <c r="AP114" i="1"/>
  <c r="AQ114" i="1"/>
  <c r="AL115" i="1"/>
  <c r="AM115" i="1"/>
  <c r="AN115" i="1" s="1"/>
  <c r="AO115" i="1"/>
  <c r="AP115" i="1"/>
  <c r="AQ115" i="1"/>
  <c r="AL116" i="1"/>
  <c r="AN116" i="1" s="1"/>
  <c r="AM116" i="1"/>
  <c r="AO116" i="1"/>
  <c r="AP116" i="1"/>
  <c r="AQ116" i="1"/>
  <c r="AL117" i="1"/>
  <c r="AM117" i="1"/>
  <c r="AN117" i="1" s="1"/>
  <c r="AO117" i="1"/>
  <c r="AP117" i="1"/>
  <c r="AQ117" i="1"/>
  <c r="AL118" i="1"/>
  <c r="AN118" i="1" s="1"/>
  <c r="AM118" i="1"/>
  <c r="AO118" i="1"/>
  <c r="AP118" i="1"/>
  <c r="AQ118" i="1"/>
  <c r="AL119" i="1"/>
  <c r="AM119" i="1"/>
  <c r="AN119" i="1" s="1"/>
  <c r="AO119" i="1"/>
  <c r="AP119" i="1"/>
  <c r="AQ119" i="1"/>
  <c r="AL120" i="1"/>
  <c r="AN120" i="1" s="1"/>
  <c r="AM120" i="1"/>
  <c r="AO120" i="1"/>
  <c r="AP120" i="1"/>
  <c r="AQ120" i="1"/>
  <c r="AL121" i="1"/>
  <c r="AM121" i="1"/>
  <c r="AN121" i="1" s="1"/>
  <c r="AO121" i="1"/>
  <c r="AP121" i="1"/>
  <c r="AQ121" i="1"/>
  <c r="AL122" i="1"/>
  <c r="AN122" i="1" s="1"/>
  <c r="AM122" i="1"/>
  <c r="AO122" i="1"/>
  <c r="AP122" i="1"/>
  <c r="AQ122" i="1"/>
  <c r="AL123" i="1"/>
  <c r="AM123" i="1"/>
  <c r="AN123" i="1" s="1"/>
  <c r="AO123" i="1"/>
  <c r="AP123" i="1"/>
  <c r="AQ123" i="1"/>
  <c r="AL124" i="1"/>
  <c r="AN124" i="1" s="1"/>
  <c r="AM124" i="1"/>
  <c r="AO124" i="1"/>
  <c r="AP124" i="1"/>
  <c r="AQ124" i="1"/>
  <c r="AL125" i="1"/>
  <c r="AM125" i="1"/>
  <c r="AN125" i="1" s="1"/>
  <c r="AO125" i="1"/>
  <c r="AP125" i="1"/>
  <c r="AQ125" i="1"/>
  <c r="AL126" i="1"/>
  <c r="AN126" i="1" s="1"/>
  <c r="AM126" i="1"/>
  <c r="AO126" i="1"/>
  <c r="AP126" i="1"/>
  <c r="AQ126" i="1"/>
  <c r="AL127" i="1"/>
  <c r="AM127" i="1"/>
  <c r="AN127" i="1" s="1"/>
  <c r="AO127" i="1"/>
  <c r="AP127" i="1"/>
  <c r="AQ127" i="1"/>
  <c r="AL128" i="1"/>
  <c r="AN128" i="1" s="1"/>
  <c r="AM128" i="1"/>
  <c r="AO128" i="1"/>
  <c r="AP128" i="1"/>
  <c r="AQ128" i="1"/>
  <c r="AL129" i="1"/>
  <c r="AM129" i="1"/>
  <c r="AN129" i="1" s="1"/>
  <c r="AO129" i="1"/>
  <c r="AP129" i="1"/>
  <c r="AQ129" i="1"/>
  <c r="AL130" i="1"/>
  <c r="AN130" i="1" s="1"/>
  <c r="AM130" i="1"/>
  <c r="AO130" i="1"/>
  <c r="AP130" i="1"/>
  <c r="AQ130" i="1"/>
  <c r="AL131" i="1"/>
  <c r="AM131" i="1"/>
  <c r="AN131" i="1" s="1"/>
  <c r="AO131" i="1"/>
  <c r="AP131" i="1"/>
  <c r="AQ131" i="1"/>
  <c r="AL132" i="1"/>
  <c r="AN132" i="1" s="1"/>
  <c r="AM132" i="1"/>
  <c r="AO132" i="1"/>
  <c r="AP132" i="1"/>
  <c r="AQ132" i="1"/>
  <c r="AL133" i="1"/>
  <c r="AM133" i="1"/>
  <c r="AN133" i="1" s="1"/>
  <c r="AO133" i="1"/>
  <c r="AP133" i="1"/>
  <c r="AQ133" i="1"/>
  <c r="AL134" i="1"/>
  <c r="AN134" i="1" s="1"/>
  <c r="AM134" i="1"/>
  <c r="AO134" i="1"/>
  <c r="AP134" i="1"/>
  <c r="AQ134" i="1"/>
  <c r="AL135" i="1"/>
  <c r="AM135" i="1"/>
  <c r="AN135" i="1" s="1"/>
  <c r="AO135" i="1"/>
  <c r="AP135" i="1"/>
  <c r="AQ135" i="1"/>
  <c r="AL136" i="1"/>
  <c r="AN136" i="1" s="1"/>
  <c r="AM136" i="1"/>
  <c r="AO136" i="1"/>
  <c r="AP136" i="1"/>
  <c r="AQ136" i="1"/>
  <c r="AL137" i="1"/>
  <c r="AM137" i="1"/>
  <c r="AN137" i="1" s="1"/>
  <c r="AO137" i="1"/>
  <c r="AP137" i="1"/>
  <c r="AQ137" i="1"/>
  <c r="AL138" i="1"/>
  <c r="AN138" i="1" s="1"/>
  <c r="AM138" i="1"/>
  <c r="AO138" i="1"/>
  <c r="AP138" i="1"/>
  <c r="AQ138" i="1"/>
  <c r="AL139" i="1"/>
  <c r="AM139" i="1"/>
  <c r="AN139" i="1" s="1"/>
  <c r="AO139" i="1"/>
  <c r="AP139" i="1"/>
  <c r="AQ139" i="1"/>
  <c r="AL140" i="1"/>
  <c r="AN140" i="1" s="1"/>
  <c r="AM140" i="1"/>
  <c r="AO140" i="1"/>
  <c r="AP140" i="1"/>
  <c r="AQ140" i="1"/>
  <c r="AL141" i="1"/>
  <c r="AM141" i="1"/>
  <c r="AN141" i="1" s="1"/>
  <c r="AO141" i="1"/>
  <c r="AP141" i="1"/>
  <c r="AQ141" i="1"/>
  <c r="AL142" i="1"/>
  <c r="AN142" i="1" s="1"/>
  <c r="AM142" i="1"/>
  <c r="AO142" i="1"/>
  <c r="AP142" i="1"/>
  <c r="AQ142" i="1"/>
  <c r="AL143" i="1"/>
  <c r="AM143" i="1"/>
  <c r="AN143" i="1"/>
  <c r="AO143" i="1"/>
  <c r="AP143" i="1"/>
  <c r="AQ143" i="1"/>
  <c r="AL144" i="1"/>
  <c r="AN144" i="1" s="1"/>
  <c r="AM144" i="1"/>
  <c r="AO144" i="1"/>
  <c r="AP144" i="1"/>
  <c r="AQ144" i="1"/>
  <c r="AL145" i="1"/>
  <c r="AM145" i="1"/>
  <c r="AN145" i="1" s="1"/>
  <c r="AO145" i="1"/>
  <c r="AP145" i="1"/>
  <c r="AQ145" i="1"/>
  <c r="AL146" i="1"/>
  <c r="AN146" i="1" s="1"/>
  <c r="AM146" i="1"/>
  <c r="AO146" i="1"/>
  <c r="AP146" i="1"/>
  <c r="AQ146" i="1"/>
  <c r="AL147" i="1"/>
  <c r="AM147" i="1"/>
  <c r="AN147" i="1" s="1"/>
  <c r="AO147" i="1"/>
  <c r="AP147" i="1"/>
  <c r="AQ147" i="1"/>
  <c r="AL148" i="1"/>
  <c r="AN148" i="1" s="1"/>
  <c r="AM148" i="1"/>
  <c r="AO148" i="1"/>
  <c r="AP148" i="1"/>
  <c r="AQ148" i="1"/>
  <c r="AL149" i="1"/>
  <c r="AM149" i="1"/>
  <c r="AN149" i="1" s="1"/>
  <c r="AO149" i="1"/>
  <c r="AP149" i="1"/>
  <c r="AQ149" i="1"/>
  <c r="AL150" i="1"/>
  <c r="AN150" i="1" s="1"/>
  <c r="AM150" i="1"/>
  <c r="AO150" i="1"/>
  <c r="AP150" i="1"/>
  <c r="AQ150" i="1"/>
  <c r="AL151" i="1"/>
  <c r="AM151" i="1"/>
  <c r="AN151" i="1" s="1"/>
  <c r="AO151" i="1"/>
  <c r="AP151" i="1"/>
  <c r="AQ151" i="1"/>
  <c r="AL152" i="1"/>
  <c r="AN152" i="1" s="1"/>
  <c r="AM152" i="1"/>
  <c r="AO152" i="1"/>
  <c r="AP152" i="1"/>
  <c r="AQ152" i="1"/>
  <c r="AL153" i="1"/>
  <c r="AM153" i="1"/>
  <c r="AN153" i="1" s="1"/>
  <c r="AO153" i="1"/>
  <c r="AP153" i="1"/>
  <c r="AQ153" i="1"/>
  <c r="AL154" i="1"/>
  <c r="AN154" i="1" s="1"/>
  <c r="AM154" i="1"/>
  <c r="AO154" i="1"/>
  <c r="AP154" i="1"/>
  <c r="AQ154" i="1"/>
  <c r="AL155" i="1"/>
  <c r="AM155" i="1"/>
  <c r="AN155" i="1" s="1"/>
  <c r="AO155" i="1"/>
  <c r="AP155" i="1"/>
  <c r="AQ155" i="1"/>
  <c r="AL156" i="1"/>
  <c r="AN156" i="1" s="1"/>
  <c r="AM156" i="1"/>
  <c r="AO156" i="1"/>
  <c r="AP156" i="1"/>
  <c r="AQ156" i="1"/>
  <c r="AL157" i="1"/>
  <c r="AM157" i="1"/>
  <c r="AN157" i="1" s="1"/>
  <c r="AO157" i="1"/>
  <c r="AP157" i="1"/>
  <c r="AQ157" i="1"/>
  <c r="AL158" i="1"/>
  <c r="AN158" i="1" s="1"/>
  <c r="AM158" i="1"/>
  <c r="AO158" i="1"/>
  <c r="AP158" i="1"/>
  <c r="AQ158" i="1"/>
  <c r="AL159" i="1"/>
  <c r="AM159" i="1"/>
  <c r="AN159" i="1" s="1"/>
  <c r="AO159" i="1"/>
  <c r="AP159" i="1"/>
  <c r="AQ159" i="1"/>
  <c r="AL160" i="1"/>
  <c r="AN160" i="1" s="1"/>
  <c r="AM160" i="1"/>
  <c r="AO160" i="1"/>
  <c r="AP160" i="1"/>
  <c r="AQ160" i="1"/>
  <c r="AL161" i="1"/>
  <c r="AM161" i="1"/>
  <c r="AN161" i="1" s="1"/>
  <c r="AO161" i="1"/>
  <c r="AP161" i="1"/>
  <c r="AQ161" i="1"/>
  <c r="AL162" i="1"/>
  <c r="AN162" i="1" s="1"/>
  <c r="AM162" i="1"/>
  <c r="AO162" i="1"/>
  <c r="AP162" i="1"/>
  <c r="AQ162" i="1"/>
  <c r="AL163" i="1"/>
  <c r="AM163" i="1"/>
  <c r="AN163" i="1" s="1"/>
  <c r="AO163" i="1"/>
  <c r="AP163" i="1"/>
  <c r="AQ163" i="1"/>
  <c r="AL164" i="1"/>
  <c r="AN164" i="1" s="1"/>
  <c r="AM164" i="1"/>
  <c r="AO164" i="1"/>
  <c r="AP164" i="1"/>
  <c r="AQ164" i="1"/>
  <c r="AL165" i="1"/>
  <c r="AM165" i="1"/>
  <c r="AN165" i="1" s="1"/>
  <c r="AO165" i="1"/>
  <c r="AP165" i="1"/>
  <c r="AQ165" i="1"/>
  <c r="AL166" i="1"/>
  <c r="AN166" i="1" s="1"/>
  <c r="AM166" i="1"/>
  <c r="AO166" i="1"/>
  <c r="AP166" i="1"/>
  <c r="AQ166" i="1"/>
  <c r="AL167" i="1"/>
  <c r="AM167" i="1"/>
  <c r="AN167" i="1"/>
  <c r="AO167" i="1"/>
  <c r="AP167" i="1"/>
  <c r="AQ167" i="1"/>
  <c r="AL168" i="1"/>
  <c r="AN168" i="1" s="1"/>
  <c r="AM168" i="1"/>
  <c r="AO168" i="1"/>
  <c r="AP168" i="1"/>
  <c r="AQ168" i="1"/>
  <c r="AL169" i="1"/>
  <c r="AM169" i="1"/>
  <c r="AN169" i="1" s="1"/>
  <c r="AO169" i="1"/>
  <c r="AP169" i="1"/>
  <c r="AQ169" i="1"/>
  <c r="AL170" i="1"/>
  <c r="AN170" i="1" s="1"/>
  <c r="AM170" i="1"/>
  <c r="AO170" i="1"/>
  <c r="AP170" i="1"/>
  <c r="AQ170" i="1"/>
  <c r="AL171" i="1"/>
  <c r="AM171" i="1"/>
  <c r="AN171" i="1" s="1"/>
  <c r="AO171" i="1"/>
  <c r="AP171" i="1"/>
  <c r="AQ171" i="1"/>
  <c r="AL172" i="1"/>
  <c r="AN172" i="1" s="1"/>
  <c r="AM172" i="1"/>
  <c r="AO172" i="1"/>
  <c r="AP172" i="1"/>
  <c r="AQ172" i="1"/>
  <c r="AL173" i="1"/>
  <c r="AM173" i="1"/>
  <c r="AN173" i="1" s="1"/>
  <c r="AO173" i="1"/>
  <c r="AP173" i="1"/>
  <c r="AQ173" i="1"/>
  <c r="AL174" i="1"/>
  <c r="AN174" i="1" s="1"/>
  <c r="AM174" i="1"/>
  <c r="AO174" i="1"/>
  <c r="AP174" i="1"/>
  <c r="AQ174" i="1"/>
  <c r="AL175" i="1"/>
  <c r="AM175" i="1"/>
  <c r="AN175" i="1" s="1"/>
  <c r="AO175" i="1"/>
  <c r="AP175" i="1"/>
  <c r="AQ175" i="1"/>
  <c r="AL176" i="1"/>
  <c r="AN176" i="1" s="1"/>
  <c r="AM176" i="1"/>
  <c r="AO176" i="1"/>
  <c r="AP176" i="1"/>
  <c r="AQ176" i="1"/>
  <c r="AL177" i="1"/>
  <c r="AM177" i="1"/>
  <c r="AN177" i="1"/>
  <c r="AO177" i="1"/>
  <c r="AP177" i="1"/>
  <c r="AQ177" i="1"/>
  <c r="AL178" i="1"/>
  <c r="AN178" i="1" s="1"/>
  <c r="AM178" i="1"/>
  <c r="AO178" i="1"/>
  <c r="AP178" i="1"/>
  <c r="AQ178" i="1"/>
  <c r="AL179" i="1"/>
  <c r="AM179" i="1"/>
  <c r="AN179" i="1" s="1"/>
  <c r="AO179" i="1"/>
  <c r="AP179" i="1"/>
  <c r="AQ179" i="1"/>
  <c r="AL180" i="1"/>
  <c r="AN180" i="1" s="1"/>
  <c r="AM180" i="1"/>
  <c r="AO180" i="1"/>
  <c r="AP180" i="1"/>
  <c r="AQ180" i="1"/>
  <c r="AL181" i="1"/>
  <c r="AM181" i="1"/>
  <c r="AN181" i="1" s="1"/>
  <c r="AO181" i="1"/>
  <c r="AP181" i="1"/>
  <c r="AQ181" i="1"/>
  <c r="AL182" i="1"/>
  <c r="AN182" i="1" s="1"/>
  <c r="AM182" i="1"/>
  <c r="AO182" i="1"/>
  <c r="AP182" i="1"/>
  <c r="AQ182" i="1"/>
  <c r="AL183" i="1"/>
  <c r="AM183" i="1"/>
  <c r="AN183" i="1" s="1"/>
  <c r="AO183" i="1"/>
  <c r="AP183" i="1"/>
  <c r="AQ183" i="1"/>
  <c r="AL184" i="1"/>
  <c r="AN184" i="1" s="1"/>
  <c r="AM184" i="1"/>
  <c r="AO184" i="1"/>
  <c r="AP184" i="1"/>
  <c r="AQ184" i="1"/>
  <c r="AL185" i="1"/>
  <c r="AM185" i="1"/>
  <c r="AN185" i="1" s="1"/>
  <c r="AO185" i="1"/>
  <c r="AP185" i="1"/>
  <c r="AQ185" i="1"/>
  <c r="AL186" i="1"/>
  <c r="AN186" i="1" s="1"/>
  <c r="AM186" i="1"/>
  <c r="AO186" i="1"/>
  <c r="AP186" i="1"/>
  <c r="AQ186" i="1"/>
  <c r="AL187" i="1"/>
  <c r="AM187" i="1"/>
  <c r="AN187" i="1" s="1"/>
  <c r="AO187" i="1"/>
  <c r="AP187" i="1"/>
  <c r="AQ187" i="1"/>
  <c r="AL188" i="1"/>
  <c r="AN188" i="1" s="1"/>
  <c r="AM188" i="1"/>
  <c r="AO188" i="1"/>
  <c r="AP188" i="1"/>
  <c r="AQ188" i="1"/>
  <c r="AL189" i="1"/>
  <c r="AM189" i="1"/>
  <c r="AN189" i="1"/>
  <c r="AO189" i="1"/>
  <c r="AP189" i="1"/>
  <c r="AQ189" i="1"/>
  <c r="AL190" i="1"/>
  <c r="AN190" i="1" s="1"/>
  <c r="AM190" i="1"/>
  <c r="AO190" i="1"/>
  <c r="AP190" i="1"/>
  <c r="AQ190" i="1"/>
  <c r="AL191" i="1"/>
  <c r="AM191" i="1"/>
  <c r="AN191" i="1" s="1"/>
  <c r="AO191" i="1"/>
  <c r="AP191" i="1"/>
  <c r="AQ191" i="1"/>
  <c r="AL192" i="1"/>
  <c r="AN192" i="1" s="1"/>
  <c r="AM192" i="1"/>
  <c r="AO192" i="1"/>
  <c r="AP192" i="1"/>
  <c r="AQ192" i="1"/>
  <c r="AL193" i="1"/>
  <c r="AM193" i="1"/>
  <c r="AN193" i="1" s="1"/>
  <c r="AO193" i="1"/>
  <c r="AP193" i="1"/>
  <c r="AQ193" i="1"/>
  <c r="AL194" i="1"/>
  <c r="AN194" i="1" s="1"/>
  <c r="AM194" i="1"/>
  <c r="AO194" i="1"/>
  <c r="AP194" i="1"/>
  <c r="AQ194" i="1"/>
  <c r="AL195" i="1"/>
  <c r="AM195" i="1"/>
  <c r="AN195" i="1" s="1"/>
  <c r="AO195" i="1"/>
  <c r="AP195" i="1"/>
  <c r="AQ195" i="1"/>
  <c r="AL196" i="1"/>
  <c r="AN196" i="1" s="1"/>
  <c r="AM196" i="1"/>
  <c r="AO196" i="1"/>
  <c r="AP196" i="1"/>
  <c r="AQ196" i="1"/>
  <c r="AL197" i="1"/>
  <c r="AM197" i="1"/>
  <c r="AN197" i="1" s="1"/>
  <c r="AO197" i="1"/>
  <c r="AP197" i="1"/>
  <c r="AQ197" i="1"/>
  <c r="AL198" i="1"/>
  <c r="AN198" i="1" s="1"/>
  <c r="AM198" i="1"/>
  <c r="AO198" i="1"/>
  <c r="AP198" i="1"/>
  <c r="AQ198" i="1"/>
  <c r="AL199" i="1"/>
  <c r="AM199" i="1"/>
  <c r="AN199" i="1" s="1"/>
  <c r="AO199" i="1"/>
  <c r="AP199" i="1"/>
  <c r="AQ199" i="1"/>
  <c r="AL200" i="1"/>
  <c r="AN200" i="1" s="1"/>
  <c r="AM200" i="1"/>
  <c r="AO200" i="1"/>
  <c r="AP200" i="1"/>
  <c r="AQ200" i="1"/>
  <c r="AL201" i="1"/>
  <c r="AM201" i="1"/>
  <c r="AN201" i="1" s="1"/>
  <c r="AO201" i="1"/>
  <c r="AP201" i="1"/>
  <c r="AQ201" i="1"/>
  <c r="AL202" i="1"/>
  <c r="AN202" i="1" s="1"/>
  <c r="AM202" i="1"/>
  <c r="AO202" i="1"/>
  <c r="AP202" i="1"/>
  <c r="AQ202" i="1"/>
  <c r="AL203" i="1"/>
  <c r="AM203" i="1"/>
  <c r="AN203" i="1" s="1"/>
  <c r="AO203" i="1"/>
  <c r="AP203" i="1"/>
  <c r="AQ203" i="1"/>
  <c r="AL204" i="1"/>
  <c r="AN204" i="1" s="1"/>
  <c r="AM204" i="1"/>
  <c r="AO204" i="1"/>
  <c r="AP204" i="1"/>
  <c r="AQ204" i="1"/>
  <c r="AL205" i="1"/>
  <c r="AM205" i="1"/>
  <c r="AN205" i="1" s="1"/>
  <c r="AO205" i="1"/>
  <c r="AP205" i="1"/>
  <c r="AQ205" i="1"/>
  <c r="AL206" i="1"/>
  <c r="AN206" i="1" s="1"/>
  <c r="AM206" i="1"/>
  <c r="AO206" i="1"/>
  <c r="AP206" i="1"/>
  <c r="AQ206" i="1"/>
  <c r="AL207" i="1"/>
  <c r="AM207" i="1"/>
  <c r="AN207" i="1" s="1"/>
  <c r="AO207" i="1"/>
  <c r="AP207" i="1"/>
  <c r="AQ207" i="1"/>
  <c r="AL208" i="1"/>
  <c r="AN208" i="1" s="1"/>
  <c r="AM208" i="1"/>
  <c r="AO208" i="1"/>
  <c r="AP208" i="1"/>
  <c r="AQ208" i="1"/>
  <c r="AL209" i="1"/>
  <c r="AM209" i="1"/>
  <c r="AN209" i="1" s="1"/>
  <c r="AO209" i="1"/>
  <c r="AP209" i="1"/>
  <c r="AQ209" i="1"/>
  <c r="AL210" i="1"/>
  <c r="AN210" i="1" s="1"/>
  <c r="AM210" i="1"/>
  <c r="AO210" i="1"/>
  <c r="AP210" i="1"/>
  <c r="AQ210" i="1"/>
  <c r="AL211" i="1"/>
  <c r="AM211" i="1"/>
  <c r="AN211" i="1" s="1"/>
  <c r="AO211" i="1"/>
  <c r="AP211" i="1"/>
  <c r="AQ211" i="1"/>
  <c r="AL212" i="1"/>
  <c r="AN212" i="1" s="1"/>
  <c r="AM212" i="1"/>
  <c r="AO212" i="1"/>
  <c r="AP212" i="1"/>
  <c r="AQ212" i="1"/>
  <c r="AL213" i="1"/>
  <c r="AM213" i="1"/>
  <c r="AN213" i="1" s="1"/>
  <c r="AO213" i="1"/>
  <c r="AP213" i="1"/>
  <c r="AQ213" i="1"/>
  <c r="AL214" i="1"/>
  <c r="AN214" i="1" s="1"/>
  <c r="AM214" i="1"/>
  <c r="AO214" i="1"/>
  <c r="AP214" i="1"/>
  <c r="AQ214" i="1"/>
  <c r="AL215" i="1"/>
  <c r="AM215" i="1"/>
  <c r="AN215" i="1" s="1"/>
  <c r="AO215" i="1"/>
  <c r="AP215" i="1"/>
  <c r="AQ215" i="1"/>
  <c r="AL216" i="1"/>
  <c r="AN216" i="1" s="1"/>
  <c r="AM216" i="1"/>
  <c r="AO216" i="1"/>
  <c r="AP216" i="1"/>
  <c r="AQ216" i="1"/>
  <c r="AL217" i="1"/>
  <c r="AM217" i="1"/>
  <c r="AN217" i="1" s="1"/>
  <c r="AO217" i="1"/>
  <c r="AP217" i="1"/>
  <c r="AQ217" i="1"/>
  <c r="AL218" i="1"/>
  <c r="AN218" i="1" s="1"/>
  <c r="AM218" i="1"/>
  <c r="AO218" i="1"/>
  <c r="AP218" i="1"/>
  <c r="AQ218" i="1"/>
  <c r="AL219" i="1"/>
  <c r="AM219" i="1"/>
  <c r="AN219" i="1" s="1"/>
  <c r="AO219" i="1"/>
  <c r="AP219" i="1"/>
  <c r="AQ219" i="1"/>
  <c r="AL220" i="1"/>
  <c r="AN220" i="1" s="1"/>
  <c r="AM220" i="1"/>
  <c r="AO220" i="1"/>
  <c r="AP220" i="1"/>
  <c r="AQ220" i="1"/>
  <c r="AL221" i="1"/>
  <c r="AM221" i="1"/>
  <c r="AN221" i="1" s="1"/>
  <c r="AO221" i="1"/>
  <c r="AP221" i="1"/>
  <c r="AQ221" i="1"/>
  <c r="AL222" i="1"/>
  <c r="AN222" i="1" s="1"/>
  <c r="AM222" i="1"/>
  <c r="AO222" i="1"/>
  <c r="AP222" i="1"/>
  <c r="AQ222" i="1"/>
  <c r="AL223" i="1"/>
  <c r="AM223" i="1"/>
  <c r="AN223" i="1" s="1"/>
  <c r="AO223" i="1"/>
  <c r="AP223" i="1"/>
  <c r="AQ223" i="1"/>
  <c r="AL224" i="1"/>
  <c r="AN224" i="1" s="1"/>
  <c r="AM224" i="1"/>
  <c r="AO224" i="1"/>
  <c r="AP224" i="1"/>
  <c r="AQ224" i="1"/>
  <c r="AL225" i="1"/>
  <c r="AM225" i="1"/>
  <c r="AN225" i="1" s="1"/>
  <c r="AO225" i="1"/>
  <c r="AP225" i="1"/>
  <c r="AQ225" i="1"/>
  <c r="AL226" i="1"/>
  <c r="AN226" i="1" s="1"/>
  <c r="AM226" i="1"/>
  <c r="AO226" i="1"/>
  <c r="AP226" i="1"/>
  <c r="AQ226" i="1"/>
  <c r="AL227" i="1"/>
  <c r="AM227" i="1"/>
  <c r="AN227" i="1" s="1"/>
  <c r="AO227" i="1"/>
  <c r="AP227" i="1"/>
  <c r="AQ227" i="1"/>
  <c r="AL228" i="1"/>
  <c r="AN228" i="1" s="1"/>
  <c r="AM228" i="1"/>
  <c r="AO228" i="1"/>
  <c r="AP228" i="1"/>
  <c r="AQ228" i="1"/>
  <c r="AL229" i="1"/>
  <c r="AM229" i="1"/>
  <c r="AN229" i="1" s="1"/>
  <c r="AO229" i="1"/>
  <c r="AP229" i="1"/>
  <c r="AQ229" i="1"/>
  <c r="AL230" i="1"/>
  <c r="AN230" i="1" s="1"/>
  <c r="AM230" i="1"/>
  <c r="AO230" i="1"/>
  <c r="AP230" i="1"/>
  <c r="AQ230" i="1"/>
  <c r="AL231" i="1"/>
  <c r="AM231" i="1"/>
  <c r="AN231" i="1" s="1"/>
  <c r="AO231" i="1"/>
  <c r="AP231" i="1"/>
  <c r="AQ231" i="1"/>
  <c r="AL232" i="1"/>
  <c r="AN232" i="1" s="1"/>
  <c r="AM232" i="1"/>
  <c r="AO232" i="1"/>
  <c r="AP232" i="1"/>
  <c r="AQ232" i="1"/>
  <c r="AL233" i="1"/>
  <c r="AM233" i="1"/>
  <c r="AN233" i="1" s="1"/>
  <c r="AO233" i="1"/>
  <c r="AP233" i="1"/>
  <c r="AQ233" i="1"/>
  <c r="AL234" i="1"/>
  <c r="AN234" i="1" s="1"/>
  <c r="AM234" i="1"/>
  <c r="AO234" i="1"/>
  <c r="AP234" i="1"/>
  <c r="AQ234" i="1"/>
  <c r="AL235" i="1"/>
  <c r="AM235" i="1"/>
  <c r="AN235" i="1" s="1"/>
  <c r="AO235" i="1"/>
  <c r="AP235" i="1"/>
  <c r="AQ235" i="1"/>
  <c r="AL236" i="1"/>
  <c r="AN236" i="1" s="1"/>
  <c r="AM236" i="1"/>
  <c r="AO236" i="1"/>
  <c r="AP236" i="1"/>
  <c r="AQ236" i="1"/>
  <c r="AL237" i="1"/>
  <c r="AM237" i="1"/>
  <c r="AN237" i="1" s="1"/>
  <c r="AO237" i="1"/>
  <c r="AP237" i="1"/>
  <c r="AQ237" i="1"/>
  <c r="AL238" i="1"/>
  <c r="AN238" i="1" s="1"/>
  <c r="AM238" i="1"/>
  <c r="AO238" i="1"/>
  <c r="AP238" i="1"/>
  <c r="AQ238" i="1"/>
  <c r="AL239" i="1"/>
  <c r="AM239" i="1"/>
  <c r="AN239" i="1" s="1"/>
  <c r="AO239" i="1"/>
  <c r="AP239" i="1"/>
  <c r="AQ239" i="1"/>
  <c r="AL240" i="1"/>
  <c r="AN240" i="1" s="1"/>
  <c r="AM240" i="1"/>
  <c r="AO240" i="1"/>
  <c r="AP240" i="1"/>
  <c r="AQ240" i="1"/>
  <c r="AL241" i="1"/>
  <c r="AM241" i="1"/>
  <c r="AN241" i="1" s="1"/>
  <c r="AO241" i="1"/>
  <c r="AP241" i="1"/>
  <c r="AQ241" i="1"/>
  <c r="AL242" i="1"/>
  <c r="AN242" i="1" s="1"/>
  <c r="AM242" i="1"/>
  <c r="AO242" i="1"/>
  <c r="AP242" i="1"/>
  <c r="AQ242" i="1"/>
  <c r="AL243" i="1"/>
  <c r="AM243" i="1"/>
  <c r="AN243" i="1" s="1"/>
  <c r="AO243" i="1"/>
  <c r="AP243" i="1"/>
  <c r="AQ243" i="1"/>
  <c r="AL244" i="1"/>
  <c r="AN244" i="1" s="1"/>
  <c r="AM244" i="1"/>
  <c r="AO244" i="1"/>
  <c r="AP244" i="1"/>
  <c r="AQ244" i="1"/>
  <c r="AL245" i="1"/>
  <c r="AM245" i="1"/>
  <c r="AN245" i="1" s="1"/>
  <c r="AO245" i="1"/>
  <c r="AP245" i="1"/>
  <c r="AQ245" i="1"/>
  <c r="AL246" i="1"/>
  <c r="AN246" i="1" s="1"/>
  <c r="AM246" i="1"/>
  <c r="AO246" i="1"/>
  <c r="AP246" i="1"/>
  <c r="AQ246" i="1"/>
  <c r="AL247" i="1"/>
  <c r="AM247" i="1"/>
  <c r="AN247" i="1" s="1"/>
  <c r="AO247" i="1"/>
  <c r="AP247" i="1"/>
  <c r="AQ247" i="1"/>
  <c r="AL248" i="1"/>
  <c r="AN248" i="1" s="1"/>
  <c r="AM248" i="1"/>
  <c r="AO248" i="1"/>
  <c r="AP248" i="1"/>
  <c r="AQ248" i="1"/>
  <c r="AL249" i="1"/>
  <c r="AM249" i="1"/>
  <c r="AN249" i="1" s="1"/>
  <c r="AO249" i="1"/>
  <c r="AP249" i="1"/>
  <c r="AQ249" i="1"/>
  <c r="AL250" i="1"/>
  <c r="AN250" i="1" s="1"/>
  <c r="AM250" i="1"/>
  <c r="AO250" i="1"/>
  <c r="AP250" i="1"/>
  <c r="AQ250" i="1"/>
  <c r="AL251" i="1"/>
  <c r="AM251" i="1"/>
  <c r="AN251" i="1" s="1"/>
  <c r="AO251" i="1"/>
  <c r="AP251" i="1"/>
  <c r="AQ251" i="1"/>
  <c r="AL252" i="1"/>
  <c r="AN252" i="1" s="1"/>
  <c r="AM252" i="1"/>
  <c r="AO252" i="1"/>
  <c r="AP252" i="1"/>
  <c r="AQ252" i="1"/>
  <c r="AL253" i="1"/>
  <c r="AM253" i="1"/>
  <c r="AN253" i="1" s="1"/>
  <c r="AO253" i="1"/>
  <c r="AP253" i="1"/>
  <c r="AQ253" i="1"/>
  <c r="AL254" i="1"/>
  <c r="AN254" i="1" s="1"/>
  <c r="AM254" i="1"/>
  <c r="AO254" i="1"/>
  <c r="AP254" i="1"/>
  <c r="AQ254" i="1"/>
  <c r="AL255" i="1"/>
  <c r="AM255" i="1"/>
  <c r="AN255" i="1" s="1"/>
  <c r="AO255" i="1"/>
  <c r="AP255" i="1"/>
  <c r="AQ255" i="1"/>
  <c r="AL256" i="1"/>
  <c r="AN256" i="1" s="1"/>
  <c r="AM256" i="1"/>
  <c r="AO256" i="1"/>
  <c r="AP256" i="1"/>
  <c r="AQ256" i="1"/>
  <c r="AL257" i="1"/>
  <c r="AM257" i="1"/>
  <c r="AN257" i="1" s="1"/>
  <c r="AO257" i="1"/>
  <c r="AP257" i="1"/>
  <c r="AQ257" i="1"/>
  <c r="AL258" i="1"/>
  <c r="AM258" i="1"/>
  <c r="AN258" i="1" s="1"/>
  <c r="AO258" i="1"/>
  <c r="AP258" i="1"/>
  <c r="AQ258" i="1"/>
  <c r="AL259" i="1"/>
  <c r="AM259" i="1"/>
  <c r="AN259" i="1" s="1"/>
  <c r="AO259" i="1"/>
  <c r="AP259" i="1"/>
  <c r="AQ259" i="1"/>
  <c r="AL260" i="1"/>
  <c r="AN260" i="1" s="1"/>
  <c r="AM260" i="1"/>
  <c r="AO260" i="1"/>
  <c r="AP260" i="1"/>
  <c r="AQ260" i="1"/>
  <c r="AL261" i="1"/>
  <c r="AM261" i="1"/>
  <c r="AN261" i="1" s="1"/>
  <c r="AO261" i="1"/>
  <c r="AP261" i="1"/>
  <c r="AQ261" i="1"/>
  <c r="AL262" i="1"/>
  <c r="AM262" i="1"/>
  <c r="AN262" i="1" s="1"/>
  <c r="AO262" i="1"/>
  <c r="AP262" i="1"/>
  <c r="AQ262" i="1"/>
  <c r="AL263" i="1"/>
  <c r="AM263" i="1"/>
  <c r="AN263" i="1" s="1"/>
  <c r="AO263" i="1"/>
  <c r="AP263" i="1"/>
  <c r="AQ263" i="1"/>
  <c r="AL264" i="1"/>
  <c r="AN264" i="1" s="1"/>
  <c r="AM264" i="1"/>
  <c r="AO264" i="1"/>
  <c r="AP264" i="1"/>
  <c r="AQ264" i="1"/>
  <c r="AL265" i="1"/>
  <c r="AM265" i="1"/>
  <c r="AN265" i="1" s="1"/>
  <c r="AO265" i="1"/>
  <c r="AP265" i="1"/>
  <c r="AQ265" i="1"/>
  <c r="AL266" i="1"/>
  <c r="AM266" i="1"/>
  <c r="AN266" i="1" s="1"/>
  <c r="AO266" i="1"/>
  <c r="AP266" i="1"/>
  <c r="AQ266" i="1"/>
  <c r="AL267" i="1"/>
  <c r="AM267" i="1"/>
  <c r="AN267" i="1" s="1"/>
  <c r="AO267" i="1"/>
  <c r="AP267" i="1"/>
  <c r="AQ267" i="1"/>
  <c r="AL268" i="1"/>
  <c r="AN268" i="1" s="1"/>
  <c r="AM268" i="1"/>
  <c r="AO268" i="1"/>
  <c r="AP268" i="1"/>
  <c r="AQ268" i="1"/>
  <c r="AL269" i="1"/>
  <c r="AM269" i="1"/>
  <c r="AN269" i="1" s="1"/>
  <c r="AO269" i="1"/>
  <c r="AP269" i="1"/>
  <c r="AQ269" i="1"/>
  <c r="AL270" i="1"/>
  <c r="AM270" i="1"/>
  <c r="AN270" i="1" s="1"/>
  <c r="AO270" i="1"/>
  <c r="AP270" i="1"/>
  <c r="AQ270" i="1"/>
  <c r="AL271" i="1"/>
  <c r="AM271" i="1"/>
  <c r="AN271" i="1" s="1"/>
  <c r="AO271" i="1"/>
  <c r="AP271" i="1"/>
  <c r="AQ271" i="1"/>
  <c r="AL272" i="1"/>
  <c r="AN272" i="1" s="1"/>
  <c r="AM272" i="1"/>
  <c r="AO272" i="1"/>
  <c r="AP272" i="1"/>
  <c r="AQ272" i="1"/>
  <c r="AL273" i="1"/>
  <c r="AM273" i="1"/>
  <c r="AN273" i="1" s="1"/>
  <c r="AO273" i="1"/>
  <c r="AP273" i="1"/>
  <c r="AQ273" i="1"/>
  <c r="AL274" i="1"/>
  <c r="AN274" i="1" s="1"/>
  <c r="AM274" i="1"/>
  <c r="AO274" i="1"/>
  <c r="AP274" i="1"/>
  <c r="AQ274" i="1"/>
  <c r="AL275" i="1"/>
  <c r="AM275" i="1"/>
  <c r="AN275" i="1" s="1"/>
  <c r="AO275" i="1"/>
  <c r="AP275" i="1"/>
  <c r="AQ275" i="1"/>
  <c r="AL276" i="1"/>
  <c r="AN276" i="1" s="1"/>
  <c r="AM276" i="1"/>
  <c r="AO276" i="1"/>
  <c r="AP276" i="1"/>
  <c r="AQ276" i="1"/>
  <c r="AL277" i="1"/>
  <c r="AM277" i="1"/>
  <c r="AN277" i="1" s="1"/>
  <c r="AO277" i="1"/>
  <c r="AP277" i="1"/>
  <c r="AQ277" i="1"/>
  <c r="AL278" i="1"/>
  <c r="AN278" i="1" s="1"/>
  <c r="AM278" i="1"/>
  <c r="AO278" i="1"/>
  <c r="AP278" i="1"/>
  <c r="AQ278" i="1"/>
  <c r="AL279" i="1"/>
  <c r="AM279" i="1"/>
  <c r="AN279" i="1" s="1"/>
  <c r="AO279" i="1"/>
  <c r="AP279" i="1"/>
  <c r="AQ279" i="1"/>
  <c r="AL280" i="1"/>
  <c r="AN280" i="1" s="1"/>
  <c r="AM280" i="1"/>
  <c r="AO280" i="1"/>
  <c r="AP280" i="1"/>
  <c r="AQ280" i="1"/>
  <c r="AL281" i="1"/>
  <c r="AM281" i="1"/>
  <c r="AN281" i="1" s="1"/>
  <c r="AO281" i="1"/>
  <c r="AP281" i="1"/>
  <c r="AQ281" i="1"/>
  <c r="AL282" i="1"/>
  <c r="AN282" i="1" s="1"/>
  <c r="AM282" i="1"/>
  <c r="AO282" i="1"/>
  <c r="AP282" i="1"/>
  <c r="AQ282" i="1"/>
  <c r="AL283" i="1"/>
  <c r="AM283" i="1"/>
  <c r="AN283" i="1" s="1"/>
  <c r="AO283" i="1"/>
  <c r="AP283" i="1"/>
  <c r="AQ283" i="1"/>
  <c r="AL284" i="1"/>
  <c r="AN284" i="1" s="1"/>
  <c r="AM284" i="1"/>
  <c r="AO284" i="1"/>
  <c r="AP284" i="1"/>
  <c r="AQ284" i="1"/>
  <c r="AL285" i="1"/>
  <c r="AM285" i="1"/>
  <c r="AN285" i="1" s="1"/>
  <c r="AO285" i="1"/>
  <c r="AP285" i="1"/>
  <c r="AQ285" i="1"/>
  <c r="AL286" i="1"/>
  <c r="AN286" i="1" s="1"/>
  <c r="AM286" i="1"/>
  <c r="AO286" i="1"/>
  <c r="AP286" i="1"/>
  <c r="AQ286" i="1"/>
  <c r="AL287" i="1"/>
  <c r="AM287" i="1"/>
  <c r="AN287" i="1" s="1"/>
  <c r="AO287" i="1"/>
  <c r="AP287" i="1"/>
  <c r="AQ287" i="1"/>
  <c r="AL288" i="1"/>
  <c r="AN288" i="1" s="1"/>
  <c r="AM288" i="1"/>
  <c r="AO288" i="1"/>
  <c r="AP288" i="1"/>
  <c r="AQ288" i="1"/>
  <c r="AP31" i="1"/>
  <c r="AL22" i="1"/>
  <c r="AN22" i="1" s="1"/>
  <c r="AM22" i="1"/>
  <c r="AO22" i="1"/>
  <c r="AP22" i="1"/>
  <c r="AQ22" i="1"/>
  <c r="AL23" i="1"/>
  <c r="AM23" i="1"/>
  <c r="AN23" i="1"/>
  <c r="AO23" i="1"/>
  <c r="AP23" i="1"/>
  <c r="AQ23" i="1"/>
  <c r="AL24" i="1"/>
  <c r="AM24" i="1"/>
  <c r="AN24" i="1"/>
  <c r="AO24" i="1"/>
  <c r="AP24" i="1"/>
  <c r="AQ24" i="1"/>
  <c r="AL25" i="1"/>
  <c r="AM25" i="1"/>
  <c r="AN25" i="1"/>
  <c r="AO25" i="1"/>
  <c r="AP25" i="1"/>
  <c r="AQ25" i="1"/>
  <c r="AL26" i="1"/>
  <c r="AN26" i="1" s="1"/>
  <c r="AM26" i="1"/>
  <c r="AO26" i="1"/>
  <c r="AP26" i="1"/>
  <c r="AQ26" i="1"/>
  <c r="AL27" i="1"/>
  <c r="AM27" i="1"/>
  <c r="AN27" i="1"/>
  <c r="AO27" i="1"/>
  <c r="AP27" i="1"/>
  <c r="AQ27" i="1"/>
  <c r="AL28" i="1"/>
  <c r="AM28" i="1"/>
  <c r="AN28" i="1"/>
  <c r="AO28" i="1"/>
  <c r="AP28" i="1"/>
  <c r="AQ28" i="1"/>
  <c r="AL29" i="1"/>
  <c r="AM29" i="1"/>
  <c r="AN29" i="1"/>
  <c r="AO29" i="1"/>
  <c r="AP29" i="1"/>
  <c r="AQ29" i="1"/>
  <c r="AL30" i="1"/>
  <c r="AN30" i="1" s="1"/>
  <c r="AM30" i="1"/>
  <c r="AO30" i="1"/>
  <c r="AP30" i="1"/>
  <c r="AQ30" i="1"/>
  <c r="AL31" i="1"/>
  <c r="AM31" i="1"/>
  <c r="AN31" i="1"/>
  <c r="AO31" i="1"/>
  <c r="AQ31" i="1"/>
  <c r="AL17" i="1"/>
  <c r="AN17" i="1" s="1"/>
  <c r="AM17" i="1"/>
  <c r="AO17" i="1"/>
  <c r="AP17" i="1"/>
  <c r="AQ17" i="1"/>
  <c r="AL18" i="1"/>
  <c r="AN18" i="1" s="1"/>
  <c r="AM18" i="1"/>
  <c r="AO18" i="1"/>
  <c r="AP18" i="1"/>
  <c r="AQ18" i="1"/>
  <c r="AL19" i="1"/>
  <c r="AN19" i="1" s="1"/>
  <c r="AM19" i="1"/>
  <c r="AO19" i="1"/>
  <c r="AP19" i="1"/>
  <c r="AQ19" i="1"/>
  <c r="AL20" i="1"/>
  <c r="AN20" i="1" s="1"/>
  <c r="AM20" i="1"/>
  <c r="AO20" i="1"/>
  <c r="AP20" i="1"/>
  <c r="AQ20" i="1"/>
  <c r="AL21" i="1"/>
  <c r="AN21" i="1" s="1"/>
  <c r="AM21" i="1"/>
  <c r="AO21" i="1"/>
  <c r="AP21" i="1"/>
  <c r="AQ21" i="1"/>
  <c r="AN4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O5" i="1"/>
  <c r="AO6" i="1"/>
  <c r="AO7" i="1"/>
  <c r="AO8" i="1"/>
  <c r="AO9" i="1"/>
  <c r="AO10" i="1"/>
  <c r="AO11" i="1"/>
  <c r="AO12" i="1"/>
  <c r="AO13" i="1"/>
  <c r="AO14" i="1"/>
  <c r="AO15" i="1"/>
  <c r="AO16" i="1"/>
  <c r="AO4" i="1"/>
  <c r="AN5" i="1"/>
  <c r="AN6" i="1"/>
  <c r="AN7" i="1"/>
  <c r="AN8" i="1"/>
  <c r="AN9" i="1"/>
  <c r="AN10" i="1"/>
  <c r="AN11" i="1"/>
  <c r="AN12" i="1"/>
  <c r="AN13" i="1"/>
  <c r="AN14" i="1"/>
  <c r="AN15" i="1"/>
  <c r="AN16" i="1"/>
  <c r="AM5" i="1"/>
  <c r="AM6" i="1"/>
  <c r="AM7" i="1"/>
  <c r="AM8" i="1"/>
  <c r="AM9" i="1"/>
  <c r="AM10" i="1"/>
  <c r="AM11" i="1"/>
  <c r="AM12" i="1"/>
  <c r="AM13" i="1"/>
  <c r="AM14" i="1"/>
  <c r="AM15" i="1"/>
  <c r="AM16" i="1"/>
  <c r="AM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4" i="1"/>
</calcChain>
</file>

<file path=xl/sharedStrings.xml><?xml version="1.0" encoding="utf-8"?>
<sst xmlns="http://schemas.openxmlformats.org/spreadsheetml/2006/main" count="4484" uniqueCount="833">
  <si>
    <t>Grupo al que pertenece</t>
  </si>
  <si>
    <t>Nombre completo</t>
  </si>
  <si>
    <t>Correo electrónico</t>
  </si>
  <si>
    <t>Teléfono</t>
  </si>
  <si>
    <t>Años de experiencia profesional</t>
  </si>
  <si>
    <t>Inicio de participación en el proceso de producción estadística en el organismo (mm/aaaa)</t>
  </si>
  <si>
    <t>Tipo de vinculación</t>
  </si>
  <si>
    <t>Etapa del proceso en el que participa</t>
  </si>
  <si>
    <t>¿Dentro de funciones/actividades contractuales, se describe de manera específica la realización de actividades de producción o gestión de la información estadística ?</t>
  </si>
  <si>
    <t>Nivel de formación académica</t>
  </si>
  <si>
    <t>Nombrado</t>
  </si>
  <si>
    <t>Contratista</t>
  </si>
  <si>
    <t>DN</t>
  </si>
  <si>
    <t>D</t>
  </si>
  <si>
    <t>C</t>
  </si>
  <si>
    <t>R</t>
  </si>
  <si>
    <t>P</t>
  </si>
  <si>
    <t>A</t>
  </si>
  <si>
    <t>E</t>
  </si>
  <si>
    <t>B</t>
  </si>
  <si>
    <t>T-T</t>
  </si>
  <si>
    <t>M</t>
  </si>
  <si>
    <t>AA</t>
  </si>
  <si>
    <t>TO</t>
  </si>
  <si>
    <t>TA</t>
  </si>
  <si>
    <t>PU1</t>
  </si>
  <si>
    <t>PU2</t>
  </si>
  <si>
    <t>PU3</t>
  </si>
  <si>
    <t>PU4</t>
  </si>
  <si>
    <t>PU5</t>
  </si>
  <si>
    <t>PU6</t>
  </si>
  <si>
    <t>PE</t>
  </si>
  <si>
    <t>AS</t>
  </si>
  <si>
    <t>T</t>
  </si>
  <si>
    <t>Investigaciones </t>
  </si>
  <si>
    <t>Lenier yamid largacha ibarguen</t>
  </si>
  <si>
    <t>lenier001@gmail.com</t>
  </si>
  <si>
    <t>6 años</t>
  </si>
  <si>
    <t>X</t>
  </si>
  <si>
    <t>NO</t>
  </si>
  <si>
    <t>Fabian Rivas</t>
  </si>
  <si>
    <t>fr0907@hotmail.com</t>
  </si>
  <si>
    <t>10 años</t>
  </si>
  <si>
    <t>Andy Jhonsen Caicedo Viafara</t>
  </si>
  <si>
    <t>andymixcaicedo03@gmail.com</t>
  </si>
  <si>
    <t>1 y 8 meses</t>
  </si>
  <si>
    <t>Stephany Consuegra </t>
  </si>
  <si>
    <t>consuegrastephany@gmail.com</t>
  </si>
  <si>
    <t>Ana María Serna Guevara</t>
  </si>
  <si>
    <t>ana.serna@gmail.com</t>
  </si>
  <si>
    <t>4 años</t>
  </si>
  <si>
    <t>Sensibilizaciones </t>
  </si>
  <si>
    <t>Maria Alejandra Tascon</t>
  </si>
  <si>
    <t>alejandra.tascon@cali.gov.co</t>
  </si>
  <si>
    <t>3 años</t>
  </si>
  <si>
    <t>Notificaciones</t>
  </si>
  <si>
    <t>Nora Alomia Mosquera</t>
  </si>
  <si>
    <t>nora.alomia@cali.gov.co</t>
  </si>
  <si>
    <t>3 Años</t>
  </si>
  <si>
    <t>Operadores</t>
  </si>
  <si>
    <t>Paola Andrea Guzman</t>
  </si>
  <si>
    <t>paola.guzman@cali.gov.co</t>
  </si>
  <si>
    <t>1 año</t>
  </si>
  <si>
    <t>Dina Lucia alvarado benitez</t>
  </si>
  <si>
    <t>dina.alvarado@cali.gov.co</t>
  </si>
  <si>
    <t>SI</t>
  </si>
  <si>
    <t>Archivo</t>
  </si>
  <si>
    <t>Alexander Guzman</t>
  </si>
  <si>
    <t>alexander.guzman@cali,gov.co</t>
  </si>
  <si>
    <t>5 años</t>
  </si>
  <si>
    <t>Jacqueline Lozano Rodriguez</t>
  </si>
  <si>
    <t>jacqueline.lozano@cali.gov.co</t>
  </si>
  <si>
    <t>Banco de proyectos</t>
  </si>
  <si>
    <t>Carolina Gomez Rodriguez</t>
  </si>
  <si>
    <t>carolina.gomez.rod@cali.gov.co</t>
  </si>
  <si>
    <t>7 años</t>
  </si>
  <si>
    <t>Calidad</t>
  </si>
  <si>
    <t>Rafael Benitez Mondragon</t>
  </si>
  <si>
    <t>rafael.benitez.mond@cali.gov.co</t>
  </si>
  <si>
    <t>9 Años</t>
  </si>
  <si>
    <t xml:space="preserve"> </t>
  </si>
  <si>
    <t>NOMBRADO</t>
  </si>
  <si>
    <t>CONTRATISTA</t>
  </si>
  <si>
    <t>TIPO DE VINCULACIÓN</t>
  </si>
  <si>
    <t>ETAPA</t>
  </si>
  <si>
    <t>FC</t>
  </si>
  <si>
    <t>FORMACIÓN</t>
  </si>
  <si>
    <t>Departamento Administrativo de Control Disciplinario Interno</t>
  </si>
  <si>
    <t>DACP - SGCI - DATOS</t>
  </si>
  <si>
    <t>Jose Manuel Rosero Giraldo</t>
  </si>
  <si>
    <t>jose.rosero@cali.gov.co</t>
  </si>
  <si>
    <t>DACP - Unidad de Apoyo a la Gestión - Calidad</t>
  </si>
  <si>
    <t>Ana María Cerón</t>
  </si>
  <si>
    <t>calidad.dacp@cali.gov.co</t>
  </si>
  <si>
    <t>x</t>
  </si>
  <si>
    <t>DACP - SAE - Plan anual</t>
  </si>
  <si>
    <t>Jonatan Paez</t>
  </si>
  <si>
    <t>jonatan.paez@cali.gov.co</t>
  </si>
  <si>
    <t>DACP - Despacho</t>
  </si>
  <si>
    <t>Lucia Teresa Jaramillo</t>
  </si>
  <si>
    <t>lucia.jaramillo@cali.gov.co</t>
  </si>
  <si>
    <t>DACP - UAG - Proyectos</t>
  </si>
  <si>
    <t>Lina Castro</t>
  </si>
  <si>
    <t>lina.castro@cali.gov.co</t>
  </si>
  <si>
    <t>Departamento Administrativo de Contratación Pública</t>
  </si>
  <si>
    <t>Fauna Silvestre</t>
  </si>
  <si>
    <t>Jessica Galindez</t>
  </si>
  <si>
    <t>faunasilvestre@cali.gov.co</t>
  </si>
  <si>
    <t>No</t>
  </si>
  <si>
    <t>Flora Silvestre</t>
  </si>
  <si>
    <t>Ahnorak Sossa (Flora Silvestre)</t>
  </si>
  <si>
    <t>ukansova@gmail.com</t>
  </si>
  <si>
    <t>Hídrico</t>
  </si>
  <si>
    <t>María Fernanda Arbeláez</t>
  </si>
  <si>
    <t>coordinacion.hidrico@cali.gov.co</t>
  </si>
  <si>
    <t>Aire</t>
  </si>
  <si>
    <t>Wilmar Álvarez</t>
  </si>
  <si>
    <t>coordinacion.aire@cali.gov.co</t>
  </si>
  <si>
    <t>Ecosistemas</t>
  </si>
  <si>
    <t>Mónica Patricia Londoño Moreno</t>
  </si>
  <si>
    <t>monica.londono@cali.gov.co</t>
  </si>
  <si>
    <t>Vivero</t>
  </si>
  <si>
    <t>Mauricio Salazar Loaiza</t>
  </si>
  <si>
    <t>mauricio.salazar@cali.gov.co</t>
  </si>
  <si>
    <t>Laboratorio</t>
  </si>
  <si>
    <t>Catalina Vasquez</t>
  </si>
  <si>
    <t>laboratoriodagma@cali.gov.co</t>
  </si>
  <si>
    <t>Acustica</t>
  </si>
  <si>
    <t>Daniel Tascón</t>
  </si>
  <si>
    <t>proyectos.acustica@cali.gov.co</t>
  </si>
  <si>
    <t>UMATA</t>
  </si>
  <si>
    <t>Diego Delgado</t>
  </si>
  <si>
    <t>umatacali@cali.gov.co</t>
  </si>
  <si>
    <t>Observatorio Ambiental</t>
  </si>
  <si>
    <t>Maria Carolina Araujo Peña</t>
  </si>
  <si>
    <t>observatorio.dagma@cali.gov.co</t>
  </si>
  <si>
    <t>Departamento Administrativo de Gestión del Medio Ambiente</t>
  </si>
  <si>
    <t>Grupo de balance Contabilidad general</t>
  </si>
  <si>
    <t>Maria Evangelina España</t>
  </si>
  <si>
    <t>maria.espana.v@cali.gov.co</t>
  </si>
  <si>
    <t>Claudia Jaramillo Falla</t>
  </si>
  <si>
    <t>claudia.jaramillo.f@cali.gov.co</t>
  </si>
  <si>
    <t>Grupo de calidad Contabilidad general</t>
  </si>
  <si>
    <t>Harol Antonio Palacio Gonzalias</t>
  </si>
  <si>
    <t>harol.palacio@cali.gov.co</t>
  </si>
  <si>
    <t>Nelson Andrés García García</t>
  </si>
  <si>
    <t>nelson.garcia@cali.gov.co</t>
  </si>
  <si>
    <t>Obs. Inmobiliario Catastral</t>
  </si>
  <si>
    <t>Neyla Andrea Buitrago Osorio</t>
  </si>
  <si>
    <t>neyla.buitrago@cali.gov.co</t>
  </si>
  <si>
    <t>318 8014519</t>
  </si>
  <si>
    <t>Juan Fernando Gomez Castañeda</t>
  </si>
  <si>
    <t>juan.gomez.ca@cali.gov.co</t>
  </si>
  <si>
    <t>Hector Fabio Murillo Castro</t>
  </si>
  <si>
    <t>hectormucas75@gmail.com</t>
  </si>
  <si>
    <t>Tania Tabares Sandoval</t>
  </si>
  <si>
    <t>tabarestania77@gmail.com</t>
  </si>
  <si>
    <t>Cristian Quintero Salazar</t>
  </si>
  <si>
    <t>cristianq015@gmail.com</t>
  </si>
  <si>
    <t>Mauricio Mansilla Alvares</t>
  </si>
  <si>
    <t>maoprinx26@gmail.com</t>
  </si>
  <si>
    <t>Victor Daniel Moreno Ibarguen</t>
  </si>
  <si>
    <t>victordaniel8907@gmail.com</t>
  </si>
  <si>
    <t>Nelson Caicedo Rodriguez</t>
  </si>
  <si>
    <t>nelsoncaicedo10@gmail.com</t>
  </si>
  <si>
    <t>Luz Andrea Toro Holguin</t>
  </si>
  <si>
    <t>luzath12@gmail.com</t>
  </si>
  <si>
    <t>Luis Hernan Vasquez Martinez</t>
  </si>
  <si>
    <t>luhevamaja@hotmail.com</t>
  </si>
  <si>
    <t>Observatorio de Hacienda Pública</t>
  </si>
  <si>
    <t>Jeisson Ipia Astudillo</t>
  </si>
  <si>
    <t>jeisson.astudillo@cali.gov.vo</t>
  </si>
  <si>
    <t>Jorge Luis Medina Herrada</t>
  </si>
  <si>
    <t>jorge.medina@cali.gov.co</t>
  </si>
  <si>
    <t>Crédito Público</t>
  </si>
  <si>
    <t>Heinar Yesid Duque González</t>
  </si>
  <si>
    <t>heiner.duque@cali.gov.co</t>
  </si>
  <si>
    <t>Johanna Quimbayo Cuartas</t>
  </si>
  <si>
    <t>johanna.quimbayo@cali.gov.co</t>
  </si>
  <si>
    <t>Planeación Financiera y Presupuestal</t>
  </si>
  <si>
    <t>Maria del Pilar Rojas</t>
  </si>
  <si>
    <t>maria.rojas.ba@cali.gov.cl</t>
  </si>
  <si>
    <t>Ancizar David Cardona Gonzalez</t>
  </si>
  <si>
    <t>ancizar.cardona@cali.gov.co</t>
  </si>
  <si>
    <t>Seguimiento Manejo y Control Presupuestal</t>
  </si>
  <si>
    <t>Carlos Andrés Daza Salazar</t>
  </si>
  <si>
    <t>carlos.daza@cali.gov.co</t>
  </si>
  <si>
    <t>Marcela Guerrero Obando</t>
  </si>
  <si>
    <t>marcela.guerrero@cali.gov.co</t>
  </si>
  <si>
    <t>Yolanda Rayo Montaño</t>
  </si>
  <si>
    <t>yolanda.rayo@cali.gov.co</t>
  </si>
  <si>
    <t>Yenni Ángel Capote</t>
  </si>
  <si>
    <t>yenni.angel@cali.gov.co</t>
  </si>
  <si>
    <t>Tesorería</t>
  </si>
  <si>
    <t>César Augusto Morantes Camacho</t>
  </si>
  <si>
    <t>cesar.morantes@cali.gov.co</t>
  </si>
  <si>
    <t>Eduardo Moldón Valderrama</t>
  </si>
  <si>
    <t>eduardo.moldón@cali.gov.co</t>
  </si>
  <si>
    <t>316 3357335</t>
  </si>
  <si>
    <t>Julián Andrés Posso Rucco</t>
  </si>
  <si>
    <t>julian.posso@cali.gov.co</t>
  </si>
  <si>
    <t>301 5376207</t>
  </si>
  <si>
    <t>Impuestos y Rentas</t>
  </si>
  <si>
    <t>Hugo Ivan Dorado Hoyos</t>
  </si>
  <si>
    <t>hugo.dorado.ho@cali.gov.co</t>
  </si>
  <si>
    <t>Maricel Porta</t>
  </si>
  <si>
    <t>maricel.porta@cali.gov.co</t>
  </si>
  <si>
    <t>Noralba Ortiz Rodriguez</t>
  </si>
  <si>
    <t>noralba.ortiz@cali.gov.co</t>
  </si>
  <si>
    <t>Departamento Administrativo de Hacienda Municipal</t>
  </si>
  <si>
    <t>Espacio Público</t>
  </si>
  <si>
    <t>Esteban Angulo Dacach</t>
  </si>
  <si>
    <t>esteban.angulo@cali.gov.co</t>
  </si>
  <si>
    <t>Claudia Viviana Gomez Giron</t>
  </si>
  <si>
    <t>vivig.2609@gmail.com</t>
  </si>
  <si>
    <t>Estratificación Socioeconómica</t>
  </si>
  <si>
    <t>EDMUNDO RENGIFO GUTIERREZ</t>
  </si>
  <si>
    <t>edmundo.rengifo@cali.gov.co</t>
  </si>
  <si>
    <t>ALEXANDER CHAVEZ TABARES</t>
  </si>
  <si>
    <t>alexander.chavez@cali.gov.co</t>
  </si>
  <si>
    <t>ANDRES FERNANDO ARANA LOPEZ</t>
  </si>
  <si>
    <t>andresaranalopez@gmail.com</t>
  </si>
  <si>
    <t>GERARDO MURIEL LOPEZ</t>
  </si>
  <si>
    <t>gmurielcartografia@gmail.com</t>
  </si>
  <si>
    <t>11,2</t>
  </si>
  <si>
    <t>ALFONSO LEONARDO DIAZ RUIZ</t>
  </si>
  <si>
    <t>leo_dr94@hotmail.com</t>
  </si>
  <si>
    <t>MARIA EMILSE TORRES AVILA</t>
  </si>
  <si>
    <t>marieta1577@gmail.com</t>
  </si>
  <si>
    <t>DOUGLAS FERNANDO PEREZ</t>
  </si>
  <si>
    <t>Douglax796@gmail.com</t>
  </si>
  <si>
    <t>8,4</t>
  </si>
  <si>
    <t>DANIELA CUENCA</t>
  </si>
  <si>
    <t>danielacuencaplaneacion@gmail.com</t>
  </si>
  <si>
    <t>10,7</t>
  </si>
  <si>
    <t>ANA MARIA DELGADO PINEDA</t>
  </si>
  <si>
    <t>delgadopinedaanamaria@gmail.com</t>
  </si>
  <si>
    <t>Alejandra María Mejia Rua</t>
  </si>
  <si>
    <t>alejandra.mejia@cali.gov.co</t>
  </si>
  <si>
    <t>Ana Milena Velásquez Guzman</t>
  </si>
  <si>
    <t>ana.velasquez.g@cali.gov.co</t>
  </si>
  <si>
    <t>Camilo Alejandro Pedroza Santafé</t>
  </si>
  <si>
    <t>camilo.pedroza@cali.gov.co</t>
  </si>
  <si>
    <t>Cristian Orlando Cuervo Vera</t>
  </si>
  <si>
    <t>cristian.cuervo@cali.gov.com</t>
  </si>
  <si>
    <t>Danny Michel Ramos Perea</t>
  </si>
  <si>
    <t>danny.ramos@cali.gov.co</t>
  </si>
  <si>
    <t>David Esteban Sandoval Giraldo</t>
  </si>
  <si>
    <t>david.sandoval.gir@cali.gov.co</t>
  </si>
  <si>
    <t>Diana Marcela Tovar Salazar</t>
  </si>
  <si>
    <t>diana.tovar@cali.gov.co</t>
  </si>
  <si>
    <t>Jadiel Alfonso Ayala Paya</t>
  </si>
  <si>
    <t>jadiel.ayala@cali.gov.co</t>
  </si>
  <si>
    <t>Jean Paul Mora Hurtado</t>
  </si>
  <si>
    <t>jean.mora@cali.gov.co</t>
  </si>
  <si>
    <t>Joao Paolo Barrantes Banguera</t>
  </si>
  <si>
    <t>joao.barrantes@cali.gov.co</t>
  </si>
  <si>
    <t>Johan Sebastian Betancourt</t>
  </si>
  <si>
    <t>johan.betancourt.do@cali.gov.co</t>
  </si>
  <si>
    <t>Johnn Alberto Castro Martinez</t>
  </si>
  <si>
    <t>johnn.castro@cali.gov.co</t>
  </si>
  <si>
    <t>Jorge Luis Mondragón García</t>
  </si>
  <si>
    <t>jorge.mondragon@cali.gov.co</t>
  </si>
  <si>
    <t>Monica Galvez Tamayo</t>
  </si>
  <si>
    <t>monica.galvez@cali.gov.co</t>
  </si>
  <si>
    <t>Ruby Cerón Erazo</t>
  </si>
  <si>
    <t>ruby.ceron@cali.gov.co</t>
  </si>
  <si>
    <t>Viviana Chavarriaga</t>
  </si>
  <si>
    <t>viviana.chavarriaga@cali.gov.co</t>
  </si>
  <si>
    <t>IDESC</t>
  </si>
  <si>
    <t>Wilson Cortez Quiñonez</t>
  </si>
  <si>
    <t>wilson.cortez@cali.gov.co</t>
  </si>
  <si>
    <t>Julio Alex Muñoz Muñoz</t>
  </si>
  <si>
    <t>julio.munoz@cali.gov.co</t>
  </si>
  <si>
    <t>Luz Brigitte Pedraza Pineda</t>
  </si>
  <si>
    <t>luz.pedraza@cali.gov.co</t>
  </si>
  <si>
    <t>Julián Esteban Londoño Vélez</t>
  </si>
  <si>
    <t>julian.londono@cali.gov.co</t>
  </si>
  <si>
    <t>Guery Alain Toro</t>
  </si>
  <si>
    <t>guery.a.toro@gmail.com</t>
  </si>
  <si>
    <t>Grupo de Movilidad SPT</t>
  </si>
  <si>
    <t>Eliana Arce Alemeida</t>
  </si>
  <si>
    <t>e.arcealemeida@gmail.com</t>
  </si>
  <si>
    <t>Fernando Rafael Martinez</t>
  </si>
  <si>
    <t>fernando.martinez@cali.gov.co</t>
  </si>
  <si>
    <t>Juan Carlos Mora Segura</t>
  </si>
  <si>
    <t>jmoraespaciotrabajo@gmail.com</t>
  </si>
  <si>
    <t>Luis David Luna Martinez</t>
  </si>
  <si>
    <t>ingluisdavidluna@gmail.com</t>
  </si>
  <si>
    <t>Cesar Augusto Rivera Gutiérrez</t>
  </si>
  <si>
    <t>cesar10rivera@gmail.com</t>
  </si>
  <si>
    <t>PGIRS</t>
  </si>
  <si>
    <t>Marvin Valencia Escobar</t>
  </si>
  <si>
    <t>marvinvalencia26@gmail.com</t>
  </si>
  <si>
    <t>Katerine Montes Navarro</t>
  </si>
  <si>
    <t>katerine.montes@cali.gov.co</t>
  </si>
  <si>
    <t>Tatiana Ayala Gómez</t>
  </si>
  <si>
    <t>tatiana.ayala.ing@gmail.com</t>
  </si>
  <si>
    <t>Jaime Rodríguez Villada</t>
  </si>
  <si>
    <t>jarvin1699@gmail.com</t>
  </si>
  <si>
    <t>SIG</t>
  </si>
  <si>
    <t>Farid Fernando Otero Castellanos</t>
  </si>
  <si>
    <t>farid.otero@cali.gov.co</t>
  </si>
  <si>
    <t>Angela Maria Ortega Perafan</t>
  </si>
  <si>
    <t>amortega0612@gmail.com</t>
  </si>
  <si>
    <t>Daniel Perea Escobar</t>
  </si>
  <si>
    <t>daniel.perea.escobar97@gmail.com</t>
  </si>
  <si>
    <t>Gerardo Luis Muriel Lopez</t>
  </si>
  <si>
    <t>gmuriel.cartografia@gmail.com</t>
  </si>
  <si>
    <t>María Camila Pomeo García</t>
  </si>
  <si>
    <t>spt.camilapomeo@gmail.com</t>
  </si>
  <si>
    <t>Oscar Eduardo Endo Vergel</t>
  </si>
  <si>
    <t>oscar.endo@cali.gov.co</t>
  </si>
  <si>
    <t>Randy Perea Álvarez</t>
  </si>
  <si>
    <t>randy7r@gmail.com</t>
  </si>
  <si>
    <t>Andrés Felipe Zúñiga Díaz</t>
  </si>
  <si>
    <t>anfezudi@gmail.com</t>
  </si>
  <si>
    <t>Luisa Fernanda Ríos García</t>
  </si>
  <si>
    <t>luisarios0511@gmail.com</t>
  </si>
  <si>
    <t>Expediente Municipal</t>
  </si>
  <si>
    <t>Jenny Fernanda Mina</t>
  </si>
  <si>
    <t>jefemiva@gmail.com</t>
  </si>
  <si>
    <t>Litza Maria Chaux Delgado</t>
  </si>
  <si>
    <t>litza.chaux.d@gmail.com</t>
  </si>
  <si>
    <t>Luis Gabriel Quiroz Cortes</t>
  </si>
  <si>
    <t>lg.quiroz.cortes@gmail.com</t>
  </si>
  <si>
    <t>Laura Viviana Arbelaez Andrade</t>
  </si>
  <si>
    <t>laura.arbelaez@correounivalle.edu.co</t>
  </si>
  <si>
    <t>Mariana Libreros Ospina</t>
  </si>
  <si>
    <t>marianalibreros70@gmail.com</t>
  </si>
  <si>
    <t>5,5</t>
  </si>
  <si>
    <t>SUPERVISIÓN SISBÉN</t>
  </si>
  <si>
    <t>Esteban Andrés Arroyave López</t>
  </si>
  <si>
    <t>estadisticas.dis@cali.gov.co</t>
  </si>
  <si>
    <t>Consuelo Vargas Morales</t>
  </si>
  <si>
    <t>consuelo.vargas.morales.72@gmail.com</t>
  </si>
  <si>
    <t>Políticas públicas</t>
  </si>
  <si>
    <t>Laura Marcela Castro Botina</t>
  </si>
  <si>
    <t>castro.laura@correounivalle.edu.co</t>
  </si>
  <si>
    <t>Políticas Públicas</t>
  </si>
  <si>
    <t>Claudia Patricia Vargas Villamarín</t>
  </si>
  <si>
    <t>Claudia.vargasvillamarin@gmail.com</t>
  </si>
  <si>
    <t>Angie Daniela Valencia Villa</t>
  </si>
  <si>
    <t>daniangie.7@gmail.com</t>
  </si>
  <si>
    <t>Angélica Escobar Zambrano</t>
  </si>
  <si>
    <t>anggelika1992@gmail.com</t>
  </si>
  <si>
    <t>María Camila Peláez Gaviria</t>
  </si>
  <si>
    <t>politicaspublicas@cali.gov.co</t>
  </si>
  <si>
    <t>Diego Fernando Vargas Gonzalez</t>
  </si>
  <si>
    <t>diegofernandovargasgonzalez@gmail.com</t>
  </si>
  <si>
    <t>Estadísticas Distritales</t>
  </si>
  <si>
    <t>Carlos Andrés Torres Ricaute</t>
  </si>
  <si>
    <t xml:space="preserve">carlos.torres.ric@cali.gov.co </t>
  </si>
  <si>
    <t>María Eugenia Peláez Caporali</t>
  </si>
  <si>
    <t>caporali79@gmail.com</t>
  </si>
  <si>
    <t>Lady Maritza Otálora Sevilla</t>
  </si>
  <si>
    <t>ladyotalora@gmail.com</t>
  </si>
  <si>
    <t>Jeniffer Gallego González</t>
  </si>
  <si>
    <t>Gallegogonzalezjeniffer@gmail.com</t>
  </si>
  <si>
    <t>Diana Marcela Bahos Mendoza</t>
  </si>
  <si>
    <t>dianabahoz1998@gmail.com</t>
  </si>
  <si>
    <t>Andrés Felipe Miranda Gómez</t>
  </si>
  <si>
    <t>andreselfm@gmail.com</t>
  </si>
  <si>
    <t xml:space="preserve">Departamento Administrativo de Planeación Municipal																		</t>
  </si>
  <si>
    <t>Caracterización de los beneficiarios de programas de los Puntos de Apropiación Digital (PAD) y Laboratorios de Innovación Digital (LID)</t>
  </si>
  <si>
    <t>Carlos Adonaí Mejía Lugo</t>
  </si>
  <si>
    <t>carlos.mejia@cali.gov.co</t>
  </si>
  <si>
    <t>Rosa Maribel Angulo Mosquera</t>
  </si>
  <si>
    <t>maribel.angulo@cali.gov.co</t>
  </si>
  <si>
    <t>Carolina Sandoval Soliz</t>
  </si>
  <si>
    <t>carolina.sandoval@cali.gov.co</t>
  </si>
  <si>
    <t>Subproceso Gestión de soluciones para explotación de datos</t>
  </si>
  <si>
    <t>Fernando Cardona Hansen</t>
  </si>
  <si>
    <t>fernando.cardona@cali.gov.co</t>
  </si>
  <si>
    <t>Departamento Administrativo Tecnologías de la Información y las Comunicaciones</t>
  </si>
  <si>
    <t>Observatorio de Políticas Sociales - Gestión del Conocimiento</t>
  </si>
  <si>
    <t>Víctor Ruíz</t>
  </si>
  <si>
    <t>victor.ruiz@correounivalle.edu.co</t>
  </si>
  <si>
    <t>313 6097253</t>
  </si>
  <si>
    <t>más de 5 años</t>
  </si>
  <si>
    <t>noviembre de 2024</t>
  </si>
  <si>
    <t>Nohra Gutiérrez</t>
  </si>
  <si>
    <t>nohragj@gmail.com</t>
  </si>
  <si>
    <t>310 4016205</t>
  </si>
  <si>
    <t>Verónica Palacio</t>
  </si>
  <si>
    <t>veronicapalacio.urdinola@gmail.com</t>
  </si>
  <si>
    <t>312 8952787</t>
  </si>
  <si>
    <t>junio de 2024</t>
  </si>
  <si>
    <t>Observatorio de Políticas Sociales - liderazgo/coordinación</t>
  </si>
  <si>
    <t>Daniel Girón Castellanos</t>
  </si>
  <si>
    <t>dangicas93@gmail.com</t>
  </si>
  <si>
    <t>marzo de 2024</t>
  </si>
  <si>
    <t>Observatorio de Políticas Sociales - Seguimiento de Políticas Públicas</t>
  </si>
  <si>
    <t>Adriana Menza</t>
  </si>
  <si>
    <t>adrianamenzacampo@gmail.com</t>
  </si>
  <si>
    <t>312 8929773</t>
  </si>
  <si>
    <t>febrero de 2024</t>
  </si>
  <si>
    <t>Johana Londoño</t>
  </si>
  <si>
    <t>johannalondo701@gmail.com</t>
  </si>
  <si>
    <t>318 5822230</t>
  </si>
  <si>
    <t>enero de 2025</t>
  </si>
  <si>
    <t>Fernanda Araujo</t>
  </si>
  <si>
    <t>fernanda.araujonarvaez@gmail.com</t>
  </si>
  <si>
    <t>312 2029381</t>
  </si>
  <si>
    <t>marzo de 2025</t>
  </si>
  <si>
    <t>Tobías Mosquera</t>
  </si>
  <si>
    <t>softwarealcaldiacali@gmail.com</t>
  </si>
  <si>
    <t>318 6248473</t>
  </si>
  <si>
    <t>Unidad de Apoyo a la Gestión - Planeación</t>
  </si>
  <si>
    <t>Sandra Isabel Valderrama Cardozo</t>
  </si>
  <si>
    <t>sandra.valderrama.ca@cali.gov.co</t>
  </si>
  <si>
    <t>18 años</t>
  </si>
  <si>
    <t>febrero de 2020</t>
  </si>
  <si>
    <t>Mauricio Soto Martínez</t>
  </si>
  <si>
    <t>mauricio.soto.mar@cali.gov.co</t>
  </si>
  <si>
    <t>junio de 2020</t>
  </si>
  <si>
    <t>Si</t>
  </si>
  <si>
    <t>Subsecretaría de Poblaciones y Etnias - Habitante de Calle</t>
  </si>
  <si>
    <t>Diana Maria Pereira Buitrago</t>
  </si>
  <si>
    <t>diana.pereira@cali.gov.co</t>
  </si>
  <si>
    <t>14 años</t>
  </si>
  <si>
    <t>febrero de 2016</t>
  </si>
  <si>
    <t>Secretaría de Bienestar Social</t>
  </si>
  <si>
    <t>Cod_Organismo</t>
  </si>
  <si>
    <t>Organismo</t>
  </si>
  <si>
    <t>Etapas</t>
  </si>
  <si>
    <t>Deteccion</t>
  </si>
  <si>
    <t>Diseño</t>
  </si>
  <si>
    <t>Construccion</t>
  </si>
  <si>
    <t>Recoleccion</t>
  </si>
  <si>
    <t>Procesamiento</t>
  </si>
  <si>
    <t>Analisis</t>
  </si>
  <si>
    <t>Difusion</t>
  </si>
  <si>
    <t>Evaluacion</t>
  </si>
  <si>
    <t>Caracterización de los beneficiarios de los programas de la Secretaría de Cultura</t>
  </si>
  <si>
    <t>Jocelin Karina Obando</t>
  </si>
  <si>
    <t>beneficiarios.cultura@cali.gov.co</t>
  </si>
  <si>
    <t>Caracterización del Festival de música del pacífico Petronio Álvarez en el Distrito de Santiago de Cali</t>
  </si>
  <si>
    <t>Mayra Alejandra Sanchez</t>
  </si>
  <si>
    <t>petronioalvarez@cali.gov.co</t>
  </si>
  <si>
    <t>Análisis de usuarios y servicios de la red de bibliotecas</t>
  </si>
  <si>
    <t>Diana Marcela Castillo</t>
  </si>
  <si>
    <t>estadisticarpbc@cali.gov.co</t>
  </si>
  <si>
    <t>Observatorio de la Secretaría de Cultura</t>
  </si>
  <si>
    <t>Andrés Camilo Neira Torres</t>
  </si>
  <si>
    <t>observatorio.cultura@cali.gov.co</t>
  </si>
  <si>
    <t xml:space="preserve">Secretaría de Cultura																		</t>
  </si>
  <si>
    <t>Subsecretaría de Cadenas de Valor - Centro de Inteligencia Económica y Competitivididad</t>
  </si>
  <si>
    <t>Carlos Federico Vallejo Mondragón</t>
  </si>
  <si>
    <t>federico.vallejo@cali.gov.co</t>
  </si>
  <si>
    <t>Subsecretaría de Cadenas de Valor</t>
  </si>
  <si>
    <t>Jefferson Danilo Rua Usuga</t>
  </si>
  <si>
    <t>jeffer.rua@gmail.com</t>
  </si>
  <si>
    <t>Cesar Alejandro Marín Zamora</t>
  </si>
  <si>
    <t>cesar.marin.sde@gmail.com</t>
  </si>
  <si>
    <t>Michelle Castrillón Córdoba</t>
  </si>
  <si>
    <t>micastrilloncordoba@gmail.com</t>
  </si>
  <si>
    <t>Lina Viviana Rendón Vallejo</t>
  </si>
  <si>
    <t>lina.rendon@cali.gov.co</t>
  </si>
  <si>
    <t>Manuela Herrera Isaza</t>
  </si>
  <si>
    <t>manuela950709@gmail.com</t>
  </si>
  <si>
    <t>Yhoshua Jafet Arles Vanegas Hurtado</t>
  </si>
  <si>
    <t>yhoshua.vanegas@gmail.com</t>
  </si>
  <si>
    <t>Sí</t>
  </si>
  <si>
    <t xml:space="preserve">Secretaría de Desarrollo Económico																		</t>
  </si>
  <si>
    <t>Equipo de Calidad</t>
  </si>
  <si>
    <t>Angela Maria González Millán</t>
  </si>
  <si>
    <t>angela.gonzalez@cali.gov.co</t>
  </si>
  <si>
    <t>Equipo de Fomento Clubes Deportivos</t>
  </si>
  <si>
    <t>Gloria Suarez</t>
  </si>
  <si>
    <t>gloria.suarez@cali.gov.co</t>
  </si>
  <si>
    <t>La funcionaria recepciona las solicitudes de registro y actualización de datos de los diferentes clubes deportivos del distrito</t>
  </si>
  <si>
    <t>Escenarios deportivos Adminitración de Escenarios</t>
  </si>
  <si>
    <t>Francia Elena Velasquez</t>
  </si>
  <si>
    <t>francia.velasquez@cali.gov.co</t>
  </si>
  <si>
    <t>El funcionario acualiza datos del estado de los escenarios deportivos de alto logro y barriales</t>
  </si>
  <si>
    <t>Equipo de Fomento programa Sobre Ruedas - Ciclovida</t>
  </si>
  <si>
    <t>Jhon Eduar Rodriguez</t>
  </si>
  <si>
    <t>jhonn.rodriguez@cali.gov.co</t>
  </si>
  <si>
    <t>El contratista coordina la Ciclovia y recopila la informacion de los servicios, beneficiarios y gestiones realizados al programa</t>
  </si>
  <si>
    <t>Unidad de Apoyo a la Gestión- Area de Planeación</t>
  </si>
  <si>
    <t>Katherine Sanchez Zambrano</t>
  </si>
  <si>
    <t>katherine.sanchez@cali.gov.co</t>
  </si>
  <si>
    <t>La Contratista gestiona las herramientas de planeación como son el seguimiento al Plan de Desarrollo y al Plan de acción del organismo.Los datos son sustraidos y recopilados con la informacion de las subsecretarias en la medida que ejecutan los proyectos.</t>
  </si>
  <si>
    <t>Unidad de apoyo a la gestión area de tecnologia</t>
  </si>
  <si>
    <t>Luz Erly Pineda</t>
  </si>
  <si>
    <t xml:space="preserve">luz.pineda@cali.gov.co </t>
  </si>
  <si>
    <t>Funcionaria encargada de la administracion de la plataforma SIDER encargada del mantenimiento y actualizacion de la informacion de los beneficiarios de los programas ejecutd</t>
  </si>
  <si>
    <t>Unidad de Apoyo a la gestión- area de planeación - Banco de proyectos</t>
  </si>
  <si>
    <t>Jenny Angelica Gomez</t>
  </si>
  <si>
    <t>jenny.gomezcali.gov.co</t>
  </si>
  <si>
    <t>Funcionaria encargada de la gestion de proyectos de la SDR mediante el Banco de proyectos y organiza POAI de cada vigencia presupuestal</t>
  </si>
  <si>
    <t>Unidad de Apoyo a la Gestión- Area de Planeación - Participacion Ciudadana</t>
  </si>
  <si>
    <t>Marisol Torres</t>
  </si>
  <si>
    <t>marisol.torres@cali.gov.co</t>
  </si>
  <si>
    <t>Unidad de Apoyo a la Gestión- Area de Planeación - Políticas públicas</t>
  </si>
  <si>
    <t>Julian Victoria</t>
  </si>
  <si>
    <t>julian.victoria@cali.gov.co</t>
  </si>
  <si>
    <t>Unidad de Apoyo a la Gestión- Área de Planeación -Presupuesto Participativo</t>
  </si>
  <si>
    <t>Alicia Torres Villalobos</t>
  </si>
  <si>
    <t xml:space="preserve">alicia.torres@cali.gov.co </t>
  </si>
  <si>
    <t>Unidad de Apoyo a la Gestión - Ventanilla Unica</t>
  </si>
  <si>
    <t>Luz Helena Araque</t>
  </si>
  <si>
    <t>luz.araque@cali.gov.co</t>
  </si>
  <si>
    <t>Secretaría de Deporte y Recreación</t>
  </si>
  <si>
    <t>Líderes movilizadores del proceso Participación Ciudadana y Gestión Comunitaria - Subsecretaría de Promoción y Fortalecimiento de la Participación</t>
  </si>
  <si>
    <t xml:space="preserve">Jhon Eimar Rivera
</t>
  </si>
  <si>
    <t>jhon.rivera@cali.gov.co</t>
  </si>
  <si>
    <t>Equipo de la Subsecretaría de Territorios de Inclusión y Oportunidades</t>
  </si>
  <si>
    <t>Ana Carolina Palma</t>
  </si>
  <si>
    <t>ana.c.palma7@gmail.com</t>
  </si>
  <si>
    <t>Secretaría de Desarrollo Territorial y Paticipación Ciudadana</t>
  </si>
  <si>
    <t>OOEE Convivencia Escolar</t>
  </si>
  <si>
    <t>Adriana Quiñones Viera</t>
  </si>
  <si>
    <t>adriana.quinones@cali.edu.co</t>
  </si>
  <si>
    <t>Ruben Dario Yepes</t>
  </si>
  <si>
    <t>ruben.yepes@cali.edu.co</t>
  </si>
  <si>
    <t>Luz Helena Aguilera</t>
  </si>
  <si>
    <t>luz.aguilera@cali.edu.co</t>
  </si>
  <si>
    <t>Breiner Candelo</t>
  </si>
  <si>
    <t>breygtner.candelo.cali.edu.co</t>
  </si>
  <si>
    <t>Natali Camelo</t>
  </si>
  <si>
    <t>Henry Rivera</t>
  </si>
  <si>
    <t>henry.rivera@cali.edu.co</t>
  </si>
  <si>
    <t>Rufino Mosquera</t>
  </si>
  <si>
    <t>rufino.mosquera@cali.edu.co</t>
  </si>
  <si>
    <t>Secretaría de Educación</t>
  </si>
  <si>
    <t>Oficina de transparencia</t>
  </si>
  <si>
    <t>María Alejandra Pedraza Orduz</t>
  </si>
  <si>
    <t>maria.pedraza@cali.gov.co</t>
  </si>
  <si>
    <t>Secretaría de Gobierno</t>
  </si>
  <si>
    <t>Subsecretaría de apoyo técnico</t>
  </si>
  <si>
    <t>Andrés Felipe Pereira Rodriguez</t>
  </si>
  <si>
    <t>andres.pereira@cali.gov.co</t>
  </si>
  <si>
    <t>Subsecretaría de Infraestructura y Mantenimiento Vial</t>
  </si>
  <si>
    <t>Juan Camilo Blandón</t>
  </si>
  <si>
    <t>infraestructura1612@gmail.com</t>
  </si>
  <si>
    <t>Equipo Planeación</t>
  </si>
  <si>
    <t>Aura Cristina Quintero</t>
  </si>
  <si>
    <t>aura.quintero@cali.gov.co</t>
  </si>
  <si>
    <t>Despacho</t>
  </si>
  <si>
    <t>Santiago Sanchez</t>
  </si>
  <si>
    <t>santiago.sanchez@cali.gov.co</t>
  </si>
  <si>
    <t>Vivan Lileth Aranzalez</t>
  </si>
  <si>
    <t>vivian.aranzalez@cali.gov.co</t>
  </si>
  <si>
    <t>Fabian Prado Florez</t>
  </si>
  <si>
    <t>fabian.prado@cali.gov.co</t>
  </si>
  <si>
    <t>Secretaría de Infraestructura</t>
  </si>
  <si>
    <t>PLANEACIÓN UAG</t>
  </si>
  <si>
    <t>CARLOS OLMEDO NARVAEZ GUEVARA</t>
  </si>
  <si>
    <t>konguevara@hotmail.com</t>
  </si>
  <si>
    <t>OBSERVATORIO</t>
  </si>
  <si>
    <t>JUAN CARLOS PUERTA</t>
  </si>
  <si>
    <t>juan.puerta@correunivalle.edu.co</t>
  </si>
  <si>
    <t>KEVIN STEVEN OSSA TABARES</t>
  </si>
  <si>
    <t>kev.ossa13@gmail.com</t>
  </si>
  <si>
    <t>NEFTALI GARCIA G.</t>
  </si>
  <si>
    <t>datosmovilidadcali@gmail.co</t>
  </si>
  <si>
    <t>JOHN JAIRO MEDINA</t>
  </si>
  <si>
    <t>john.medina@cali.gov.co</t>
  </si>
  <si>
    <t>DIEGO FERNANDO PALACIO</t>
  </si>
  <si>
    <t>diego.palacio@cali.gov.co</t>
  </si>
  <si>
    <t>WILLIAM ROJAS GARZON</t>
  </si>
  <si>
    <t>c4movil@gmail.com</t>
  </si>
  <si>
    <t>ANDREY S LÓPEZ G</t>
  </si>
  <si>
    <t>andreylopez.dev@gmail.com</t>
  </si>
  <si>
    <t>Secretaría de Movilidad</t>
  </si>
  <si>
    <t>Secretaría de Paz y Cultura Ciudadana</t>
  </si>
  <si>
    <t>David Andrés Timoté Penagos</t>
  </si>
  <si>
    <t>david.timote@cali.gov.co</t>
  </si>
  <si>
    <t>Luis Felipe Barrera</t>
  </si>
  <si>
    <t>luis.barrera@cali.gov.co</t>
  </si>
  <si>
    <t>Diana Fernanda Gómez Arcila</t>
  </si>
  <si>
    <t>dgmez71@gmail.com</t>
  </si>
  <si>
    <t>Observatorio de paz, derechos humanos y cultura ciudadana</t>
  </si>
  <si>
    <t>Sergio Hernández Vásquez</t>
  </si>
  <si>
    <t>sergio.hernandez@cali.gov.co</t>
  </si>
  <si>
    <t>Ramiro Ramos</t>
  </si>
  <si>
    <t>ramiroandres789@gmail.com</t>
  </si>
  <si>
    <t>Tomás Lomana</t>
  </si>
  <si>
    <t>tomaslb@hotmail.com</t>
  </si>
  <si>
    <t>Miguel Ángel Sánchez</t>
  </si>
  <si>
    <t>rcpcion@gmail.com</t>
  </si>
  <si>
    <t>Equipo Técnico UAG:</t>
  </si>
  <si>
    <t>Linda María Ochoa Jiménez</t>
  </si>
  <si>
    <t>Equipo tecnico Calidad</t>
  </si>
  <si>
    <t>Sandra Cecilia gonzalez ruiz</t>
  </si>
  <si>
    <t>Milton Cesar Valencia Rico</t>
  </si>
  <si>
    <t>Mariluz Cruz Rendón</t>
  </si>
  <si>
    <t>Mariela Lopez Mejia</t>
  </si>
  <si>
    <t>Equipo Técnico UAG</t>
  </si>
  <si>
    <t>Jorge Andrés Díaz</t>
  </si>
  <si>
    <t>OE1 Análisis de los delitos contra la vida ocurridos en el Municipio de Santiago de Cali</t>
  </si>
  <si>
    <t>Victor Hugo Muñoz Villa</t>
  </si>
  <si>
    <t>victomu@gmail.com</t>
  </si>
  <si>
    <t>Eduardo Varela Gaetano</t>
  </si>
  <si>
    <t>eduardo.varela@cali.gov.co</t>
  </si>
  <si>
    <t>Luis Gonzaga Villegas</t>
  </si>
  <si>
    <t>luis.gonzaga@cali.gov.co</t>
  </si>
  <si>
    <t>Juan Camilo Urbano</t>
  </si>
  <si>
    <t>camilojuan821@gmail.com</t>
  </si>
  <si>
    <t>Luisa Daniela Trujillo</t>
  </si>
  <si>
    <t>luisadanielat@gmail.com</t>
  </si>
  <si>
    <t>Rubén Darío Aristizábal</t>
  </si>
  <si>
    <t>rubend.aristizabalo@gmail.com</t>
  </si>
  <si>
    <t>Observatorio de Seguridad</t>
  </si>
  <si>
    <t>Oscar Esteban Parra Tabima</t>
  </si>
  <si>
    <t>observatorioseguridad@cali.gov.co</t>
  </si>
  <si>
    <t>Juan Manuel Salazar</t>
  </si>
  <si>
    <t>juanmanuelsala@gmail.com</t>
  </si>
  <si>
    <t>Edwin Camacho</t>
  </si>
  <si>
    <t>ekmacho@gmail.com</t>
  </si>
  <si>
    <t>David Soto</t>
  </si>
  <si>
    <t>davidsotobello@gmail.com</t>
  </si>
  <si>
    <t>Luis Alfredo López Herazo</t>
  </si>
  <si>
    <t>luisllopez9412@gmail.com</t>
  </si>
  <si>
    <t>Daniel Alejandro Muñoz Arias</t>
  </si>
  <si>
    <t>damunoz.arias@gmail.com</t>
  </si>
  <si>
    <t>Equipo Técnico de Políticas Públicas</t>
  </si>
  <si>
    <t>Aura María Barberan Quijano</t>
  </si>
  <si>
    <t>aura.barberan@cali.gov.co</t>
  </si>
  <si>
    <t>Luis Fernando Mercado vargas</t>
  </si>
  <si>
    <t>luis.mercado@cali.gov.co</t>
  </si>
  <si>
    <t>Jhon James Guerrero Velazco</t>
  </si>
  <si>
    <t>piscc.ssj@cali.gov.co</t>
  </si>
  <si>
    <t>Juan Manuel Bernal Rengifo</t>
  </si>
  <si>
    <t>juanman4@hotmail.com</t>
  </si>
  <si>
    <t>Secretaría de Seguridad y Justicia</t>
  </si>
  <si>
    <t>Vigilancia Epidemiológica, Social y Cultural</t>
  </si>
  <si>
    <t>Lucy Marcela Díaz Rivadeneira</t>
  </si>
  <si>
    <t>marcela.diaz@cali.gov.co</t>
  </si>
  <si>
    <t>Rafael Antonio Restrepo Mafla</t>
  </si>
  <si>
    <t>observatorio.salud@cali.gov.co</t>
  </si>
  <si>
    <t>Geraldine Quintero Moná</t>
  </si>
  <si>
    <t>geraldine.quintero@cali.gov.co</t>
  </si>
  <si>
    <t>Gissel Andrea Guzmán Escarria</t>
  </si>
  <si>
    <t>vigilanciamapas@cali.gov.co</t>
  </si>
  <si>
    <t>Anthony Garcés Hurtado</t>
  </si>
  <si>
    <t>anthony.garces@cali.gov.co</t>
  </si>
  <si>
    <t>Grupo ETV y Zoonosis</t>
  </si>
  <si>
    <t>Katerine Duque Campeón</t>
  </si>
  <si>
    <t>ducampe3024@gmail.com</t>
  </si>
  <si>
    <t>4,5</t>
  </si>
  <si>
    <t>Víctor Manuel Gómez Zarama</t>
  </si>
  <si>
    <t>victormanuel272791@gmail.com</t>
  </si>
  <si>
    <t>Vigilancia Epidemiologica Social y Cultural</t>
  </si>
  <si>
    <t>Lina Johana Mazo Arango</t>
  </si>
  <si>
    <t>lina.mazo@cali.gov.co</t>
  </si>
  <si>
    <t>Equipo de BD</t>
  </si>
  <si>
    <t>Andres Felipe Cardona Arenas</t>
  </si>
  <si>
    <t>andres.cardona.are@cali.gov.co</t>
  </si>
  <si>
    <t>Diego Andres Cordoba Longa</t>
  </si>
  <si>
    <t>diego.cordoba@cali.gov.co</t>
  </si>
  <si>
    <t>David Plaza Cuellar</t>
  </si>
  <si>
    <t>david.plaza@cali.gov.co</t>
  </si>
  <si>
    <t>Victor Manuel Fernandez de la Cruz</t>
  </si>
  <si>
    <t>victor.fernandez@cali.gov.co</t>
  </si>
  <si>
    <t>Salud laboral</t>
  </si>
  <si>
    <t>Diana Guerrero Jaramillo</t>
  </si>
  <si>
    <t>diana.guerrero.jar@cali.gov.co</t>
  </si>
  <si>
    <t>Brandon Yair Rodriguez Velasquez</t>
  </si>
  <si>
    <t>ftergokinesia@gmail.com</t>
  </si>
  <si>
    <t>Salud Ambiental</t>
  </si>
  <si>
    <t>Johnny Eduardo Narváez Palacios</t>
  </si>
  <si>
    <t>johnny.marvaez@cali.gov.co</t>
  </si>
  <si>
    <t>Clara Ines Solis Sandoval</t>
  </si>
  <si>
    <t>clara.solis@cali.gov.co</t>
  </si>
  <si>
    <t>Secretaría de Salud Pública</t>
  </si>
  <si>
    <t>OE1 Caracterización de visitantes atendidos en los Puntos de Información Turística del municipio de Santiago de Cali</t>
  </si>
  <si>
    <t>Alejandro Montoya Bolaños</t>
  </si>
  <si>
    <t>alejandro.montoya@cali.gov.co</t>
  </si>
  <si>
    <t>Paola Andrea Sanchez Prieto</t>
  </si>
  <si>
    <t>paola.sanchez.pri@cali.gov.co</t>
  </si>
  <si>
    <t>Carlos Ariel Vanegas Grajales</t>
  </si>
  <si>
    <t>carlos.ariel@cali.gov.co</t>
  </si>
  <si>
    <t>abril de 2020</t>
  </si>
  <si>
    <t>OE2 Mediciones a eventos en ciudad</t>
  </si>
  <si>
    <t>Observatorio Turístico de la Alcaldía Distrital de Santiago de Cali</t>
  </si>
  <si>
    <t>Equipo de Trabajo Políticas Públicas</t>
  </si>
  <si>
    <t>Juan David Carvajal Rengifo</t>
  </si>
  <si>
    <t>juan.carvajal.ren@cali.gov.co</t>
  </si>
  <si>
    <t>octubre de 2024</t>
  </si>
  <si>
    <t>Daniel Moncayo Chávez</t>
  </si>
  <si>
    <t>danielmoncayo4@gmail.com</t>
  </si>
  <si>
    <t>Nicolás Alarcón Cardoza</t>
  </si>
  <si>
    <t>nikoalarcon2020@gmail.com</t>
  </si>
  <si>
    <t>abril de 2025</t>
  </si>
  <si>
    <t>Equipo de Aseguramiento de la Calidad</t>
  </si>
  <si>
    <t>Maria Camila Gamboa Fernandez</t>
  </si>
  <si>
    <t>calidad.st@cali.gov.co</t>
  </si>
  <si>
    <t>Joanna Asprilla Manyoma</t>
  </si>
  <si>
    <t>mayo de 2025</t>
  </si>
  <si>
    <t>Secretaría de Turismo</t>
  </si>
  <si>
    <t>OE2 Estadísticas de los Subsidios de Vivienda de Interés Social</t>
  </si>
  <si>
    <t>Arelys Bravo Pereira</t>
  </si>
  <si>
    <t>armen.bravo@cali.gov.co</t>
  </si>
  <si>
    <t>36 Años</t>
  </si>
  <si>
    <t>Cristhian Leiton Narvaez</t>
  </si>
  <si>
    <t>crisleiton9111@gmail.com</t>
  </si>
  <si>
    <t>17 Meses</t>
  </si>
  <si>
    <t>Andres Felipe Piedrahita Angarita</t>
  </si>
  <si>
    <t>andrespi588sgov@gmail.com</t>
  </si>
  <si>
    <t>20 Meses</t>
  </si>
  <si>
    <t>Andres Torres Herrera</t>
  </si>
  <si>
    <t>andrestorres6927@gmail.com</t>
  </si>
  <si>
    <t>17 Años</t>
  </si>
  <si>
    <t>Laura Isabel Cabrera Vasquez</t>
  </si>
  <si>
    <t>lauraisabelcabrera.22@gmail.com</t>
  </si>
  <si>
    <t>4 Años</t>
  </si>
  <si>
    <t>Geraldine Bolaños Martinez</t>
  </si>
  <si>
    <t>geraldinesvsh97@gmail.com</t>
  </si>
  <si>
    <t>Ana Cecilia Castro Chala</t>
  </si>
  <si>
    <t>anacastrosecretaria@gmail.com</t>
  </si>
  <si>
    <t>21 Años</t>
  </si>
  <si>
    <t>Milder Yaneth Viveros Urbano</t>
  </si>
  <si>
    <t>myvive80@hotmail.com</t>
  </si>
  <si>
    <t>5 Años</t>
  </si>
  <si>
    <t>Tomas Ladino Chavez</t>
  </si>
  <si>
    <t>t.ladino08@gmail.com</t>
  </si>
  <si>
    <t>2 Años</t>
  </si>
  <si>
    <t>Nathalya Correa Jimenez</t>
  </si>
  <si>
    <t>natha2425@gmail.com</t>
  </si>
  <si>
    <t>Paola Andrea Gutierrez Mambuscay</t>
  </si>
  <si>
    <t>paolaandreagutie@gmail.com</t>
  </si>
  <si>
    <t>Jorge Eduardo Quintero Giraldo</t>
  </si>
  <si>
    <t>jquintero647@gmail.com</t>
  </si>
  <si>
    <t>8 Años</t>
  </si>
  <si>
    <t>OE2 Estadísticas de los Subsidios de Vivienda de Interés Social - Mejoramiento de Vivienda</t>
  </si>
  <si>
    <t>John Alexander Hoyos Alvarez</t>
  </si>
  <si>
    <t>john.hoyos017@gmail.com</t>
  </si>
  <si>
    <t>Alejandro Zuñiga Alcazar</t>
  </si>
  <si>
    <t>ing.alejandrozuniga@gmail.com</t>
  </si>
  <si>
    <t>Arley Duvan Mesa Barreiro</t>
  </si>
  <si>
    <t>arleydmesa@gmail.com</t>
  </si>
  <si>
    <t>Tatiana Velasco Buritica</t>
  </si>
  <si>
    <t>Tatianavelasco.buritica@gmail.com</t>
  </si>
  <si>
    <t>Laura Fernanda Duque Giraldo</t>
  </si>
  <si>
    <t>Arq.lauraf@gmail.com</t>
  </si>
  <si>
    <t>Ana Bolena Trujillo López</t>
  </si>
  <si>
    <t>anabtrujillo@gmail.com</t>
  </si>
  <si>
    <t>Robinson Perea Asprilla</t>
  </si>
  <si>
    <t>perearobinson@gmail.com</t>
  </si>
  <si>
    <t>German Dario Meluk Bedoya</t>
  </si>
  <si>
    <t>Gdmeluk@gmail.com</t>
  </si>
  <si>
    <t>Juan Sebastian Vargas Zapata</t>
  </si>
  <si>
    <t>juansevarza@gmail.com</t>
  </si>
  <si>
    <t>Jhonatan Steven Mosquera Alarcón</t>
  </si>
  <si>
    <t>mosqueraalarconj@gmail.com</t>
  </si>
  <si>
    <t>Julián Andrés Marín Ramos</t>
  </si>
  <si>
    <t>julian.andres.marin05@gmail.com</t>
  </si>
  <si>
    <t>Karen dayana caicedo largacha</t>
  </si>
  <si>
    <t>Karencaicedo1401@gmail.com</t>
  </si>
  <si>
    <t>OE3 Estadísticas del Registro administrativo de actividades de construcción y/o enajenación de inmuebles destinados a vivienda</t>
  </si>
  <si>
    <t>Maribel Murillo García</t>
  </si>
  <si>
    <t>maribel.murillo@cali.gov.co</t>
  </si>
  <si>
    <t>Jesús Elías Pérez Cano</t>
  </si>
  <si>
    <t>jesus.perez@cali.gov.co</t>
  </si>
  <si>
    <t>Observatorio de Vivienda y Hábitat</t>
  </si>
  <si>
    <t>Leidy Diana Vargas Ortiz</t>
  </si>
  <si>
    <t>observatorio.svsh@cali.gov.co</t>
  </si>
  <si>
    <t>Sebastian Guitierrez</t>
  </si>
  <si>
    <t>sgutigarcia@gmail.com</t>
  </si>
  <si>
    <t>Evelyn Arango</t>
  </si>
  <si>
    <t>evelynarango1192@gmail.com</t>
  </si>
  <si>
    <t>Política Pública Mi Hábitat - Grupo de Apoyo Permanente</t>
  </si>
  <si>
    <t>María Fernanda Torres</t>
  </si>
  <si>
    <t>maria.torres.gar@cali.gov.co</t>
  </si>
  <si>
    <t>300 6177105</t>
  </si>
  <si>
    <t>Equipo de seguimeinto a PP</t>
  </si>
  <si>
    <t>Marycielo Zamudio</t>
  </si>
  <si>
    <t>zmarycielo8@gmail.com</t>
  </si>
  <si>
    <t>314 4159966</t>
  </si>
  <si>
    <t>Stefhania Libreros</t>
  </si>
  <si>
    <t>stefhanialib@gmail.com</t>
  </si>
  <si>
    <t>Sofía Blackburn</t>
  </si>
  <si>
    <t>diana.blackburn@cali.gov.co</t>
  </si>
  <si>
    <t>318 5427140</t>
  </si>
  <si>
    <t>Secretaría de Vivienda Social y Hábitat</t>
  </si>
  <si>
    <t>Carmen Rosa Castaño Rubiano</t>
  </si>
  <si>
    <t>calidad.uaepa@cali.gov.co</t>
  </si>
  <si>
    <t>N/A</t>
  </si>
  <si>
    <t>Educación</t>
  </si>
  <si>
    <t>Juan Sebastián Giraldo Vaca</t>
  </si>
  <si>
    <t>js.giraldov1@gmail.com</t>
  </si>
  <si>
    <t>Planeación</t>
  </si>
  <si>
    <t>Jose Alberto Conrado Pulgarín</t>
  </si>
  <si>
    <t>jose.conrado@cali.gov.co</t>
  </si>
  <si>
    <t>Politica publica</t>
  </si>
  <si>
    <t>Mónica María Fajardo Cabrera</t>
  </si>
  <si>
    <t>politica.publica.uaepa@cali.gov.co</t>
  </si>
  <si>
    <t>Unidad Administrativa Especial Protección Animal</t>
  </si>
  <si>
    <t>CALIDAD</t>
  </si>
  <si>
    <t>JULIETH DAYANNA TEPUD REYES</t>
  </si>
  <si>
    <t>calidad.uaesp@cali.gov.co</t>
  </si>
  <si>
    <t>Unidad Administrativa Especial Servicios Públicos Municipales</t>
  </si>
  <si>
    <t>Departamento Administrativo Gestión Jurídica Pública</t>
  </si>
  <si>
    <t>Departamento Administrativo de Desarrollo e Innovación Institucional</t>
  </si>
  <si>
    <t>Departamento Administrativo de Control Interno</t>
  </si>
  <si>
    <t>C_Organismo</t>
  </si>
  <si>
    <t>Grupo</t>
  </si>
  <si>
    <t>Nombre</t>
  </si>
  <si>
    <t>Correo</t>
  </si>
  <si>
    <t>tel</t>
  </si>
  <si>
    <t>Experiencia</t>
  </si>
  <si>
    <t>Inicio_PE</t>
  </si>
  <si>
    <t>Tipo_vinc</t>
  </si>
  <si>
    <t>Etapa</t>
  </si>
  <si>
    <t>Formación</t>
  </si>
  <si>
    <t/>
  </si>
  <si>
    <t>Nombre variable</t>
  </si>
  <si>
    <t>Descripción</t>
  </si>
  <si>
    <t>Código del organismo según la Tabla de Retención Documental de la entidad, adoptadas mediante el Decreto 4112.010.20.0612 del 22 de octubre de 2016.</t>
  </si>
  <si>
    <t>Nombre del organismo</t>
  </si>
  <si>
    <t>Grupo al que pertenece el(la) funcionario(a)/contratista</t>
  </si>
  <si>
    <t>Nombre del(a) funcionario(a)/contratista que hace parte del proceso estadístico</t>
  </si>
  <si>
    <t>Correo del(a) funcionario(a)/contratista que hace parte del proceso estadístico</t>
  </si>
  <si>
    <t>Teléfono del(a) funcionario(a)/contratista que hace parte del proceso estadístico</t>
  </si>
  <si>
    <t>Años de experiencia laboral</t>
  </si>
  <si>
    <t>0 = No es nombrado
1 = Asistente Administrativo (AA)
2 = Técnico Operativo (TO)
3 =  Técnico Administrativo (TA)
4 = Profesional Universitario (PU)
5 = Profesional Especializado (PE)
6 = Asesor (AS)</t>
  </si>
  <si>
    <t>0 = No es contratista
1 = Asistente Administrativo (AA)
2 = Técnico (T)
3 =  Profesional (P)
4 = Profesional Especializado (PE)
5 = Asesor (AS)</t>
  </si>
  <si>
    <t>Tipo de vinculación:
1 = Nombrado
2 = Contratista Asistente Administrativo (AA)
3 = Contratista Técnico (T)
4 =  Contratista Profesional (P)
5 = Contratista Profesional Especializado (PE)
6 = Contratista Asesor (AS)</t>
  </si>
  <si>
    <t>Etapa del proceso en el que participa:
1 = Participa en una etapa del proceso estadístico
2 = Participa en dos etapas del proceso estadístico
3 = Participa en tres etapas del proceso estadístico
4 = Participa en cuatro etapas del proceso estadístico
5 = Participa en cinco etapas del proceso estadístico
6 = Participa en seis etapas del proceso estadístico
7 = Participa en siete etapas del proceso estadístico
8 = Participa en ocho etapas del proceso estadístico</t>
  </si>
  <si>
    <t>¿Dentro de funciones/actividades contractuales, se describe de manera específica la realización de actividades de producción o gestión de la información estadística?
0 = No
1 = Si</t>
  </si>
  <si>
    <t>Nivel de formación del(a) funcionario(a) /contratista que participa en el proceso estadístico:
1 = Bachiller (B)
2 = Técnico o tecnológico (T-T)
3 = Profesional (P)
4 = Especialización (E)
5 = Maestría (M)
6 = Doctorado (D)</t>
  </si>
  <si>
    <r>
      <rPr>
        <sz val="11"/>
        <color theme="1"/>
        <rFont val="Calibri"/>
        <family val="2"/>
      </rPr>
      <t xml:space="preserve">Fases del proceso estadístico según los lineamientos del DANE, en el que participa al menos un(a) funcionario(a)/contratista. 
</t>
    </r>
    <r>
      <rPr>
        <sz val="8"/>
        <color theme="1"/>
        <rFont val="Calibri"/>
        <family val="2"/>
      </rPr>
      <t>Nota: un(a) funcionario(a)/contratista puede participar en más de una fase del proceso estadístico.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</si>
  <si>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Detención y análisis de necesidades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</si>
  <si>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Diseño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</si>
  <si>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Contrucción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</si>
  <si>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Recolección/Acopio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</si>
  <si>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Procesamiento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</si>
  <si>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Análisis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</si>
  <si>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Difusión</t>
    </r>
  </si>
  <si>
    <r>
      <rPr>
        <sz val="11"/>
        <color theme="1"/>
        <rFont val="Calibri"/>
        <family val="2"/>
      </rPr>
      <t xml:space="preserve">El(la) funcionario(a)/ contratista, participa de la fase de </t>
    </r>
    <r>
      <rPr>
        <i/>
        <sz val="11"/>
        <color theme="1"/>
        <rFont val="Calibri"/>
        <family val="2"/>
      </rPr>
      <t>Evaluación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</si>
</sst>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11"/>
      <color rgb="FF467886"/>
      <name val="Aptos Narrow"/>
      <family val="2"/>
    </font>
    <font>
      <u/>
      <sz val="10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rgb="FF467886"/>
      <name val="Arial"/>
      <family val="2"/>
    </font>
    <font>
      <u/>
      <sz val="10"/>
      <color rgb="FF1155CC"/>
      <name val="Arial"/>
      <family val="2"/>
    </font>
    <font>
      <u/>
      <sz val="10"/>
      <color rgb="FF467886"/>
      <name val="Arial"/>
      <family val="2"/>
    </font>
    <font>
      <sz val="11"/>
      <color rgb="FF222222"/>
      <name val="Google Sans"/>
    </font>
    <font>
      <u/>
      <sz val="10"/>
      <color theme="1"/>
      <name val="Arial"/>
      <family val="2"/>
    </font>
    <font>
      <u/>
      <sz val="10"/>
      <color rgb="FF0070C0"/>
      <name val="Arial"/>
      <family val="2"/>
    </font>
    <font>
      <sz val="9"/>
      <color rgb="FFFF0000"/>
      <name val="Arial"/>
      <family val="2"/>
    </font>
    <font>
      <u/>
      <sz val="9"/>
      <color theme="1"/>
      <name val="Arial"/>
      <family val="2"/>
    </font>
    <font>
      <sz val="10"/>
      <color rgb="FF222222"/>
      <name val="Arial"/>
      <family val="2"/>
    </font>
    <font>
      <u/>
      <sz val="11"/>
      <color rgb="FF156082"/>
      <name val="Aptos Narrow"/>
      <family val="2"/>
    </font>
    <font>
      <u/>
      <sz val="10"/>
      <color rgb="FF156082"/>
      <name val="Arial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81">
    <xf numFmtId="0" fontId="0" fillId="0" borderId="0" xfId="0"/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17" fontId="7" fillId="0" borderId="7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0" fillId="6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17" fontId="7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7" xfId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wrapText="1"/>
    </xf>
    <xf numFmtId="0" fontId="11" fillId="7" borderId="5" xfId="0" applyFont="1" applyFill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7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7" fontId="7" fillId="0" borderId="5" xfId="0" applyNumberFormat="1" applyFont="1" applyBorder="1" applyAlignment="1">
      <alignment horizontal="center" wrapText="1"/>
    </xf>
    <xf numFmtId="0" fontId="11" fillId="7" borderId="4" xfId="0" applyFont="1" applyFill="1" applyBorder="1" applyAlignment="1">
      <alignment wrapText="1"/>
    </xf>
    <xf numFmtId="0" fontId="11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wrapText="1"/>
    </xf>
    <xf numFmtId="0" fontId="7" fillId="0" borderId="7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17" fontId="7" fillId="0" borderId="7" xfId="0" applyNumberFormat="1" applyFont="1" applyBorder="1" applyAlignment="1">
      <alignment horizontal="center" wrapText="1"/>
    </xf>
    <xf numFmtId="0" fontId="12" fillId="7" borderId="7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7" borderId="7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7" fillId="0" borderId="7" xfId="0" applyFont="1" applyBorder="1" applyAlignment="1">
      <alignment horizontal="right" wrapText="1"/>
    </xf>
    <xf numFmtId="0" fontId="9" fillId="0" borderId="5" xfId="0" applyFont="1" applyBorder="1" applyAlignment="1">
      <alignment horizontal="center" vertical="center" wrapText="1"/>
    </xf>
    <xf numFmtId="17" fontId="7" fillId="0" borderId="5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7" fontId="7" fillId="0" borderId="7" xfId="0" applyNumberFormat="1" applyFont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17" fontId="7" fillId="7" borderId="7" xfId="0" applyNumberFormat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10" fillId="7" borderId="7" xfId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wrapText="1"/>
    </xf>
    <xf numFmtId="0" fontId="10" fillId="0" borderId="7" xfId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7" fillId="7" borderId="7" xfId="0" applyFont="1" applyFill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3" fillId="0" borderId="7" xfId="0" applyFont="1" applyBorder="1" applyAlignment="1">
      <alignment horizontal="center" wrapText="1"/>
    </xf>
    <xf numFmtId="0" fontId="10" fillId="0" borderId="6" xfId="1" applyBorder="1" applyAlignment="1">
      <alignment wrapText="1"/>
    </xf>
    <xf numFmtId="0" fontId="7" fillId="0" borderId="6" xfId="0" applyFont="1" applyBorder="1" applyAlignment="1">
      <alignment wrapText="1"/>
    </xf>
    <xf numFmtId="0" fontId="12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right" vertical="center" wrapText="1"/>
    </xf>
    <xf numFmtId="17" fontId="7" fillId="0" borderId="5" xfId="0" applyNumberFormat="1" applyFont="1" applyBorder="1" applyAlignment="1">
      <alignment horizontal="right" wrapText="1"/>
    </xf>
    <xf numFmtId="17" fontId="7" fillId="0" borderId="7" xfId="0" applyNumberFormat="1" applyFont="1" applyBorder="1" applyAlignment="1">
      <alignment horizontal="right" wrapText="1"/>
    </xf>
    <xf numFmtId="0" fontId="12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right" vertical="center" wrapText="1"/>
    </xf>
    <xf numFmtId="17" fontId="7" fillId="0" borderId="7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2" fillId="8" borderId="0" xfId="0" applyFont="1" applyFill="1"/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right" vertical="center" wrapText="1"/>
    </xf>
    <xf numFmtId="17" fontId="7" fillId="0" borderId="11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top" wrapText="1"/>
    </xf>
    <xf numFmtId="0" fontId="5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right" vertical="center" wrapText="1"/>
    </xf>
    <xf numFmtId="17" fontId="7" fillId="0" borderId="13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top" wrapText="1"/>
    </xf>
    <xf numFmtId="0" fontId="5" fillId="0" borderId="13" xfId="0" applyFont="1" applyBorder="1" applyAlignment="1">
      <alignment wrapText="1"/>
    </xf>
    <xf numFmtId="0" fontId="7" fillId="0" borderId="13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0" fillId="0" borderId="5" xfId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17" fontId="6" fillId="0" borderId="5" xfId="0" applyNumberFormat="1" applyFont="1" applyBorder="1" applyAlignment="1">
      <alignment vertical="center" wrapText="1"/>
    </xf>
    <xf numFmtId="17" fontId="6" fillId="0" borderId="7" xfId="0" applyNumberFormat="1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0" fillId="0" borderId="7" xfId="1" applyBorder="1" applyAlignment="1">
      <alignment vertical="top" wrapText="1"/>
    </xf>
    <xf numFmtId="17" fontId="6" fillId="0" borderId="7" xfId="0" applyNumberFormat="1" applyFont="1" applyBorder="1" applyAlignment="1">
      <alignment vertical="top" wrapText="1"/>
    </xf>
    <xf numFmtId="0" fontId="19" fillId="0" borderId="7" xfId="0" applyFont="1" applyBorder="1" applyAlignment="1">
      <alignment vertical="center" wrapText="1"/>
    </xf>
    <xf numFmtId="0" fontId="10" fillId="0" borderId="7" xfId="1" applyBorder="1" applyAlignment="1">
      <alignment horizontal="center" vertical="center" wrapText="1"/>
    </xf>
    <xf numFmtId="0" fontId="0" fillId="0" borderId="0" xfId="0" applyAlignment="1">
      <alignment horizontal="center"/>
    </xf>
    <xf numFmtId="17" fontId="7" fillId="0" borderId="14" xfId="0" applyNumberFormat="1" applyFont="1" applyBorder="1" applyAlignment="1">
      <alignment wrapText="1"/>
    </xf>
    <xf numFmtId="0" fontId="20" fillId="7" borderId="7" xfId="0" applyFont="1" applyFill="1" applyBorder="1" applyAlignment="1">
      <alignment wrapText="1"/>
    </xf>
    <xf numFmtId="0" fontId="7" fillId="0" borderId="15" xfId="0" applyFont="1" applyBorder="1" applyAlignment="1">
      <alignment horizontal="center" vertical="center" wrapText="1"/>
    </xf>
    <xf numFmtId="17" fontId="7" fillId="0" borderId="11" xfId="0" applyNumberFormat="1" applyFont="1" applyBorder="1" applyAlignment="1">
      <alignment horizontal="right" wrapText="1"/>
    </xf>
    <xf numFmtId="0" fontId="7" fillId="0" borderId="16" xfId="0" applyFont="1" applyBorder="1" applyAlignment="1">
      <alignment horizontal="center" vertical="center" wrapText="1"/>
    </xf>
    <xf numFmtId="17" fontId="7" fillId="0" borderId="13" xfId="0" applyNumberFormat="1" applyFont="1" applyBorder="1" applyAlignment="1">
      <alignment horizontal="right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  <xf numFmtId="0" fontId="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10" fillId="0" borderId="11" xfId="1" applyBorder="1" applyAlignment="1">
      <alignment wrapText="1"/>
    </xf>
    <xf numFmtId="0" fontId="7" fillId="0" borderId="11" xfId="0" applyFont="1" applyBorder="1" applyAlignment="1">
      <alignment horizontal="right" wrapText="1"/>
    </xf>
    <xf numFmtId="17" fontId="7" fillId="0" borderId="11" xfId="0" applyNumberFormat="1" applyFont="1" applyBorder="1" applyAlignment="1">
      <alignment horizontal="center" wrapText="1"/>
    </xf>
    <xf numFmtId="0" fontId="5" fillId="0" borderId="19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10" fillId="0" borderId="13" xfId="1" applyBorder="1" applyAlignment="1">
      <alignment wrapText="1"/>
    </xf>
    <xf numFmtId="17" fontId="7" fillId="0" borderId="13" xfId="0" applyNumberFormat="1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5" fillId="0" borderId="17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5" fillId="0" borderId="20" xfId="0" applyFont="1" applyBorder="1" applyAlignment="1">
      <alignment wrapText="1"/>
    </xf>
    <xf numFmtId="0" fontId="7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17" fontId="7" fillId="0" borderId="13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0" borderId="5" xfId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12" fillId="0" borderId="5" xfId="0" applyFont="1" applyBorder="1" applyAlignment="1">
      <alignment wrapText="1"/>
    </xf>
    <xf numFmtId="0" fontId="21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right" wrapText="1"/>
    </xf>
    <xf numFmtId="17" fontId="7" fillId="0" borderId="5" xfId="0" applyNumberFormat="1" applyFont="1" applyBorder="1" applyAlignment="1">
      <alignment horizontal="right" vertical="center" wrapText="1"/>
    </xf>
    <xf numFmtId="0" fontId="22" fillId="0" borderId="7" xfId="0" applyFont="1" applyBorder="1" applyAlignment="1">
      <alignment vertical="center" wrapText="1"/>
    </xf>
    <xf numFmtId="14" fontId="7" fillId="0" borderId="5" xfId="0" applyNumberFormat="1" applyFont="1" applyBorder="1" applyAlignment="1">
      <alignment vertical="center" wrapText="1"/>
    </xf>
    <xf numFmtId="0" fontId="1" fillId="9" borderId="0" xfId="0" applyFont="1" applyFill="1"/>
    <xf numFmtId="0" fontId="1" fillId="10" borderId="0" xfId="0" applyFont="1" applyFill="1"/>
    <xf numFmtId="0" fontId="1" fillId="8" borderId="0" xfId="0" applyFont="1" applyFill="1"/>
    <xf numFmtId="0" fontId="2" fillId="8" borderId="0" xfId="0" applyFont="1" applyFill="1" applyAlignment="1">
      <alignment vertical="center"/>
    </xf>
    <xf numFmtId="164" fontId="2" fillId="8" borderId="0" xfId="0" applyNumberFormat="1" applyFont="1" applyFill="1" applyAlignment="1">
      <alignment vertical="center"/>
    </xf>
    <xf numFmtId="2" fontId="2" fillId="8" borderId="0" xfId="0" applyNumberFormat="1" applyFont="1" applyFill="1" applyAlignment="1">
      <alignment vertical="center"/>
    </xf>
    <xf numFmtId="0" fontId="23" fillId="8" borderId="0" xfId="0" applyFont="1" applyFill="1" applyAlignment="1">
      <alignment vertical="center"/>
    </xf>
    <xf numFmtId="14" fontId="2" fillId="8" borderId="0" xfId="0" applyNumberFormat="1" applyFont="1" applyFill="1" applyAlignment="1">
      <alignment vertical="center"/>
    </xf>
    <xf numFmtId="14" fontId="0" fillId="0" borderId="0" xfId="0" applyNumberFormat="1"/>
    <xf numFmtId="0" fontId="24" fillId="11" borderId="21" xfId="0" applyFont="1" applyFill="1" applyBorder="1" applyAlignment="1">
      <alignment vertical="center" wrapText="1"/>
    </xf>
    <xf numFmtId="0" fontId="2" fillId="12" borderId="21" xfId="0" applyFont="1" applyFill="1" applyBorder="1" applyAlignment="1">
      <alignment vertical="center" wrapText="1"/>
    </xf>
    <xf numFmtId="0" fontId="2" fillId="8" borderId="21" xfId="0" applyFont="1" applyFill="1" applyBorder="1" applyAlignment="1">
      <alignment vertical="center" wrapText="1"/>
    </xf>
    <xf numFmtId="0" fontId="2" fillId="8" borderId="2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murielcartografia@gmail.com" TargetMode="External"/><Relationship Id="rId18" Type="http://schemas.openxmlformats.org/officeDocument/2006/relationships/hyperlink" Target="mailto:danielacuencaplaneacion@gmail.com" TargetMode="External"/><Relationship Id="rId26" Type="http://schemas.openxmlformats.org/officeDocument/2006/relationships/hyperlink" Target="mailto:katherine.sanchez@cali.gov.co" TargetMode="External"/><Relationship Id="rId39" Type="http://schemas.openxmlformats.org/officeDocument/2006/relationships/hyperlink" Target="mailto:santiago.sanchez@cali.gov.co" TargetMode="External"/><Relationship Id="rId21" Type="http://schemas.openxmlformats.org/officeDocument/2006/relationships/hyperlink" Target="mailto:estadisticarpbc@cali.gov.co" TargetMode="External"/><Relationship Id="rId34" Type="http://schemas.openxmlformats.org/officeDocument/2006/relationships/hyperlink" Target="http://breygtner.candelo.cali.edu.co/" TargetMode="External"/><Relationship Id="rId42" Type="http://schemas.openxmlformats.org/officeDocument/2006/relationships/hyperlink" Target="mailto:konguevara@hotmail.com" TargetMode="External"/><Relationship Id="rId47" Type="http://schemas.openxmlformats.org/officeDocument/2006/relationships/hyperlink" Target="mailto:luisadanielat@gmail.com" TargetMode="External"/><Relationship Id="rId50" Type="http://schemas.openxmlformats.org/officeDocument/2006/relationships/hyperlink" Target="mailto:ekmacho@gmail.com" TargetMode="External"/><Relationship Id="rId55" Type="http://schemas.openxmlformats.org/officeDocument/2006/relationships/hyperlink" Target="mailto:observatorio.salud@cali.gov.co" TargetMode="External"/><Relationship Id="rId7" Type="http://schemas.openxmlformats.org/officeDocument/2006/relationships/hyperlink" Target="mailto:yolanda.rayo@cali.gov.co" TargetMode="External"/><Relationship Id="rId2" Type="http://schemas.openxmlformats.org/officeDocument/2006/relationships/hyperlink" Target="mailto:jonatan.paez@cali.gov.co" TargetMode="External"/><Relationship Id="rId16" Type="http://schemas.openxmlformats.org/officeDocument/2006/relationships/hyperlink" Target="mailto:Douglax796@gmail.com" TargetMode="External"/><Relationship Id="rId20" Type="http://schemas.openxmlformats.org/officeDocument/2006/relationships/hyperlink" Target="mailto:caporali79@gmail.com" TargetMode="External"/><Relationship Id="rId29" Type="http://schemas.openxmlformats.org/officeDocument/2006/relationships/hyperlink" Target="mailto:julian.victoria@cali.gov.co" TargetMode="External"/><Relationship Id="rId41" Type="http://schemas.openxmlformats.org/officeDocument/2006/relationships/hyperlink" Target="mailto:fabian.prado@cali.gov.co" TargetMode="External"/><Relationship Id="rId54" Type="http://schemas.openxmlformats.org/officeDocument/2006/relationships/hyperlink" Target="mailto:marcela.diaz@cali.gov.co" TargetMode="External"/><Relationship Id="rId62" Type="http://schemas.openxmlformats.org/officeDocument/2006/relationships/hyperlink" Target="mailto:calidad.uaesp@cali.gov.co" TargetMode="External"/><Relationship Id="rId1" Type="http://schemas.openxmlformats.org/officeDocument/2006/relationships/hyperlink" Target="mailto:calidad.dacp@cali.gov.co" TargetMode="External"/><Relationship Id="rId6" Type="http://schemas.openxmlformats.org/officeDocument/2006/relationships/hyperlink" Target="mailto:marcela.guerrero@cali.gov.co" TargetMode="External"/><Relationship Id="rId11" Type="http://schemas.openxmlformats.org/officeDocument/2006/relationships/hyperlink" Target="mailto:alexander.chavez@cali.gov.co" TargetMode="External"/><Relationship Id="rId24" Type="http://schemas.openxmlformats.org/officeDocument/2006/relationships/hyperlink" Target="mailto:francia.velasquez@cali.gov.co" TargetMode="External"/><Relationship Id="rId32" Type="http://schemas.openxmlformats.org/officeDocument/2006/relationships/hyperlink" Target="mailto:ana.c.palma7@gmail.com" TargetMode="External"/><Relationship Id="rId37" Type="http://schemas.openxmlformats.org/officeDocument/2006/relationships/hyperlink" Target="mailto:infraestructura1612@gmail.com" TargetMode="External"/><Relationship Id="rId40" Type="http://schemas.openxmlformats.org/officeDocument/2006/relationships/hyperlink" Target="mailto:vivian.aranzalez@cali.gov.co" TargetMode="External"/><Relationship Id="rId45" Type="http://schemas.openxmlformats.org/officeDocument/2006/relationships/hyperlink" Target="mailto:luis.gonzaga@cali.gov.co" TargetMode="External"/><Relationship Id="rId53" Type="http://schemas.openxmlformats.org/officeDocument/2006/relationships/hyperlink" Target="mailto:damunoz.arias@gmail.com" TargetMode="External"/><Relationship Id="rId58" Type="http://schemas.openxmlformats.org/officeDocument/2006/relationships/hyperlink" Target="mailto:clara.solis@cali.gov.co" TargetMode="External"/><Relationship Id="rId5" Type="http://schemas.openxmlformats.org/officeDocument/2006/relationships/hyperlink" Target="mailto:carlos.daza@cali.gov.co" TargetMode="External"/><Relationship Id="rId15" Type="http://schemas.openxmlformats.org/officeDocument/2006/relationships/hyperlink" Target="mailto:marieta1577@gmail.com" TargetMode="External"/><Relationship Id="rId23" Type="http://schemas.openxmlformats.org/officeDocument/2006/relationships/hyperlink" Target="mailto:angela.gonzalez@cali.gov.co" TargetMode="External"/><Relationship Id="rId28" Type="http://schemas.openxmlformats.org/officeDocument/2006/relationships/hyperlink" Target="mailto:marisol.torres@cali.gov.co" TargetMode="External"/><Relationship Id="rId36" Type="http://schemas.openxmlformats.org/officeDocument/2006/relationships/hyperlink" Target="mailto:andres.pereira@cali.gov.co" TargetMode="External"/><Relationship Id="rId49" Type="http://schemas.openxmlformats.org/officeDocument/2006/relationships/hyperlink" Target="mailto:observatorioseguridad@cali.gov.co" TargetMode="External"/><Relationship Id="rId57" Type="http://schemas.openxmlformats.org/officeDocument/2006/relationships/hyperlink" Target="mailto:johnny.marvaez@cali.gov.co" TargetMode="External"/><Relationship Id="rId61" Type="http://schemas.openxmlformats.org/officeDocument/2006/relationships/hyperlink" Target="mailto:js.giraldov1@gmail.com" TargetMode="External"/><Relationship Id="rId10" Type="http://schemas.openxmlformats.org/officeDocument/2006/relationships/hyperlink" Target="mailto:edmundo.rengifo@cali.gov.co" TargetMode="External"/><Relationship Id="rId19" Type="http://schemas.openxmlformats.org/officeDocument/2006/relationships/hyperlink" Target="mailto:carlos.torres.ric@cali.gov.co" TargetMode="External"/><Relationship Id="rId31" Type="http://schemas.openxmlformats.org/officeDocument/2006/relationships/hyperlink" Target="mailto:luz.araque@cali.gov.co" TargetMode="External"/><Relationship Id="rId44" Type="http://schemas.openxmlformats.org/officeDocument/2006/relationships/hyperlink" Target="mailto:eduardo.varela@cali.gov.co" TargetMode="External"/><Relationship Id="rId52" Type="http://schemas.openxmlformats.org/officeDocument/2006/relationships/hyperlink" Target="mailto:luisllopez9412@gmail.com" TargetMode="External"/><Relationship Id="rId60" Type="http://schemas.openxmlformats.org/officeDocument/2006/relationships/hyperlink" Target="mailto:calidad.st@cali.gov.co" TargetMode="External"/><Relationship Id="rId4" Type="http://schemas.openxmlformats.org/officeDocument/2006/relationships/hyperlink" Target="mailto:lina.castro@cali.gov.co" TargetMode="External"/><Relationship Id="rId9" Type="http://schemas.openxmlformats.org/officeDocument/2006/relationships/hyperlink" Target="mailto:cesar.morantes@cali.gov.co" TargetMode="External"/><Relationship Id="rId14" Type="http://schemas.openxmlformats.org/officeDocument/2006/relationships/hyperlink" Target="mailto:leo_dr94@hotmail.com" TargetMode="External"/><Relationship Id="rId22" Type="http://schemas.openxmlformats.org/officeDocument/2006/relationships/hyperlink" Target="mailto:observatorio.cultura@cali.gov.co" TargetMode="External"/><Relationship Id="rId27" Type="http://schemas.openxmlformats.org/officeDocument/2006/relationships/hyperlink" Target="mailto:luz.pineda@cali.gov.co" TargetMode="External"/><Relationship Id="rId30" Type="http://schemas.openxmlformats.org/officeDocument/2006/relationships/hyperlink" Target="mailto:alicia.torres@cali.gov.co" TargetMode="External"/><Relationship Id="rId35" Type="http://schemas.openxmlformats.org/officeDocument/2006/relationships/hyperlink" Target="mailto:maria.pedraza@cali.gov.co" TargetMode="External"/><Relationship Id="rId43" Type="http://schemas.openxmlformats.org/officeDocument/2006/relationships/hyperlink" Target="mailto:victomu@gmail.com" TargetMode="External"/><Relationship Id="rId48" Type="http://schemas.openxmlformats.org/officeDocument/2006/relationships/hyperlink" Target="mailto:rubend.aristizabalo@gmail.com" TargetMode="External"/><Relationship Id="rId56" Type="http://schemas.openxmlformats.org/officeDocument/2006/relationships/hyperlink" Target="mailto:anthony.garces@cali.gov.co" TargetMode="External"/><Relationship Id="rId8" Type="http://schemas.openxmlformats.org/officeDocument/2006/relationships/hyperlink" Target="mailto:yenni.angel@cali.gov.co" TargetMode="External"/><Relationship Id="rId51" Type="http://schemas.openxmlformats.org/officeDocument/2006/relationships/hyperlink" Target="mailto:davidsotobello@gmail.com" TargetMode="External"/><Relationship Id="rId3" Type="http://schemas.openxmlformats.org/officeDocument/2006/relationships/hyperlink" Target="mailto:lucia.jaramillo@cali.gov.co" TargetMode="External"/><Relationship Id="rId12" Type="http://schemas.openxmlformats.org/officeDocument/2006/relationships/hyperlink" Target="mailto:andresaranalopez@gmail.com" TargetMode="External"/><Relationship Id="rId17" Type="http://schemas.openxmlformats.org/officeDocument/2006/relationships/hyperlink" Target="mailto:danielacuencaplaneacion@gmail.com" TargetMode="External"/><Relationship Id="rId25" Type="http://schemas.openxmlformats.org/officeDocument/2006/relationships/hyperlink" Target="mailto:jhonn.rodriguez@cali.gov.co" TargetMode="External"/><Relationship Id="rId33" Type="http://schemas.openxmlformats.org/officeDocument/2006/relationships/hyperlink" Target="mailto:adriana.quinones@cali.edu.co" TargetMode="External"/><Relationship Id="rId38" Type="http://schemas.openxmlformats.org/officeDocument/2006/relationships/hyperlink" Target="mailto:aura.quintero@cali.gov.co" TargetMode="External"/><Relationship Id="rId46" Type="http://schemas.openxmlformats.org/officeDocument/2006/relationships/hyperlink" Target="mailto:camilojuan821@gmail.com" TargetMode="External"/><Relationship Id="rId59" Type="http://schemas.openxmlformats.org/officeDocument/2006/relationships/hyperlink" Target="mailto:calidad.st@cali.gov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gmurielcartografia@gmail.com" TargetMode="External"/><Relationship Id="rId18" Type="http://schemas.openxmlformats.org/officeDocument/2006/relationships/hyperlink" Target="mailto:danielacuencaplaneacion@gmail.com" TargetMode="External"/><Relationship Id="rId26" Type="http://schemas.openxmlformats.org/officeDocument/2006/relationships/hyperlink" Target="mailto:katherine.sanchez@cali.gov.co" TargetMode="External"/><Relationship Id="rId39" Type="http://schemas.openxmlformats.org/officeDocument/2006/relationships/hyperlink" Target="mailto:santiago.sanchez@cali.gov.co" TargetMode="External"/><Relationship Id="rId21" Type="http://schemas.openxmlformats.org/officeDocument/2006/relationships/hyperlink" Target="mailto:estadisticarpbc@cali.gov.co" TargetMode="External"/><Relationship Id="rId34" Type="http://schemas.openxmlformats.org/officeDocument/2006/relationships/hyperlink" Target="http://breygtner.candelo.cali.edu.co/" TargetMode="External"/><Relationship Id="rId42" Type="http://schemas.openxmlformats.org/officeDocument/2006/relationships/hyperlink" Target="mailto:konguevara@hotmail.com" TargetMode="External"/><Relationship Id="rId47" Type="http://schemas.openxmlformats.org/officeDocument/2006/relationships/hyperlink" Target="mailto:luisadanielat@gmail.com" TargetMode="External"/><Relationship Id="rId50" Type="http://schemas.openxmlformats.org/officeDocument/2006/relationships/hyperlink" Target="mailto:ekmacho@gmail.com" TargetMode="External"/><Relationship Id="rId55" Type="http://schemas.openxmlformats.org/officeDocument/2006/relationships/hyperlink" Target="mailto:observatorio.salud@cali.gov.co" TargetMode="External"/><Relationship Id="rId7" Type="http://schemas.openxmlformats.org/officeDocument/2006/relationships/hyperlink" Target="mailto:yolanda.rayo@cali.gov.co" TargetMode="External"/><Relationship Id="rId2" Type="http://schemas.openxmlformats.org/officeDocument/2006/relationships/hyperlink" Target="mailto:jonatan.paez@cali.gov.co" TargetMode="External"/><Relationship Id="rId16" Type="http://schemas.openxmlformats.org/officeDocument/2006/relationships/hyperlink" Target="mailto:Douglax796@gmail.com" TargetMode="External"/><Relationship Id="rId20" Type="http://schemas.openxmlformats.org/officeDocument/2006/relationships/hyperlink" Target="mailto:caporali79@gmail.com" TargetMode="External"/><Relationship Id="rId29" Type="http://schemas.openxmlformats.org/officeDocument/2006/relationships/hyperlink" Target="mailto:julian.victoria@cali.gov.co" TargetMode="External"/><Relationship Id="rId41" Type="http://schemas.openxmlformats.org/officeDocument/2006/relationships/hyperlink" Target="mailto:fabian.prado@cali.gov.co" TargetMode="External"/><Relationship Id="rId54" Type="http://schemas.openxmlformats.org/officeDocument/2006/relationships/hyperlink" Target="mailto:marcela.diaz@cali.gov.co" TargetMode="External"/><Relationship Id="rId62" Type="http://schemas.openxmlformats.org/officeDocument/2006/relationships/hyperlink" Target="mailto:calidad.uaesp@cali.gov.co" TargetMode="External"/><Relationship Id="rId1" Type="http://schemas.openxmlformats.org/officeDocument/2006/relationships/hyperlink" Target="mailto:calidad.dacp@cali.gov.co" TargetMode="External"/><Relationship Id="rId6" Type="http://schemas.openxmlformats.org/officeDocument/2006/relationships/hyperlink" Target="mailto:marcela.guerrero@cali.gov.co" TargetMode="External"/><Relationship Id="rId11" Type="http://schemas.openxmlformats.org/officeDocument/2006/relationships/hyperlink" Target="mailto:alexander.chavez@cali.gov.co" TargetMode="External"/><Relationship Id="rId24" Type="http://schemas.openxmlformats.org/officeDocument/2006/relationships/hyperlink" Target="mailto:francia.velasquez@cali.gov.co" TargetMode="External"/><Relationship Id="rId32" Type="http://schemas.openxmlformats.org/officeDocument/2006/relationships/hyperlink" Target="mailto:ana.c.palma7@gmail.com" TargetMode="External"/><Relationship Id="rId37" Type="http://schemas.openxmlformats.org/officeDocument/2006/relationships/hyperlink" Target="mailto:infraestructura1612@gmail.com" TargetMode="External"/><Relationship Id="rId40" Type="http://schemas.openxmlformats.org/officeDocument/2006/relationships/hyperlink" Target="mailto:vivian.aranzalez@cali.gov.co" TargetMode="External"/><Relationship Id="rId45" Type="http://schemas.openxmlformats.org/officeDocument/2006/relationships/hyperlink" Target="mailto:luis.gonzaga@cali.gov.co" TargetMode="External"/><Relationship Id="rId53" Type="http://schemas.openxmlformats.org/officeDocument/2006/relationships/hyperlink" Target="mailto:damunoz.arias@gmail.com" TargetMode="External"/><Relationship Id="rId58" Type="http://schemas.openxmlformats.org/officeDocument/2006/relationships/hyperlink" Target="mailto:clara.solis@cali.gov.co" TargetMode="External"/><Relationship Id="rId5" Type="http://schemas.openxmlformats.org/officeDocument/2006/relationships/hyperlink" Target="mailto:carlos.daza@cali.gov.co" TargetMode="External"/><Relationship Id="rId15" Type="http://schemas.openxmlformats.org/officeDocument/2006/relationships/hyperlink" Target="mailto:marieta1577@gmail.com" TargetMode="External"/><Relationship Id="rId23" Type="http://schemas.openxmlformats.org/officeDocument/2006/relationships/hyperlink" Target="mailto:angela.gonzalez@cali.gov.co" TargetMode="External"/><Relationship Id="rId28" Type="http://schemas.openxmlformats.org/officeDocument/2006/relationships/hyperlink" Target="mailto:marisol.torres@cali.gov.co" TargetMode="External"/><Relationship Id="rId36" Type="http://schemas.openxmlformats.org/officeDocument/2006/relationships/hyperlink" Target="mailto:andres.pereira@cali.gov.co" TargetMode="External"/><Relationship Id="rId49" Type="http://schemas.openxmlformats.org/officeDocument/2006/relationships/hyperlink" Target="mailto:observatorioseguridad@cali.gov.co" TargetMode="External"/><Relationship Id="rId57" Type="http://schemas.openxmlformats.org/officeDocument/2006/relationships/hyperlink" Target="mailto:johnny.marvaez@cali.gov.co" TargetMode="External"/><Relationship Id="rId61" Type="http://schemas.openxmlformats.org/officeDocument/2006/relationships/hyperlink" Target="mailto:js.giraldov1@gmail.com" TargetMode="External"/><Relationship Id="rId10" Type="http://schemas.openxmlformats.org/officeDocument/2006/relationships/hyperlink" Target="mailto:edmundo.rengifo@cali.gov.co" TargetMode="External"/><Relationship Id="rId19" Type="http://schemas.openxmlformats.org/officeDocument/2006/relationships/hyperlink" Target="mailto:carlos.torres.ric@cali.gov.co" TargetMode="External"/><Relationship Id="rId31" Type="http://schemas.openxmlformats.org/officeDocument/2006/relationships/hyperlink" Target="mailto:luz.araque@cali.gov.co" TargetMode="External"/><Relationship Id="rId44" Type="http://schemas.openxmlformats.org/officeDocument/2006/relationships/hyperlink" Target="mailto:eduardo.varela@cali.gov.co" TargetMode="External"/><Relationship Id="rId52" Type="http://schemas.openxmlformats.org/officeDocument/2006/relationships/hyperlink" Target="mailto:luisllopez9412@gmail.com" TargetMode="External"/><Relationship Id="rId60" Type="http://schemas.openxmlformats.org/officeDocument/2006/relationships/hyperlink" Target="mailto:calidad.st@cali.gov.co" TargetMode="External"/><Relationship Id="rId4" Type="http://schemas.openxmlformats.org/officeDocument/2006/relationships/hyperlink" Target="mailto:lina.castro@cali.gov.co" TargetMode="External"/><Relationship Id="rId9" Type="http://schemas.openxmlformats.org/officeDocument/2006/relationships/hyperlink" Target="mailto:cesar.morantes@cali.gov.co" TargetMode="External"/><Relationship Id="rId14" Type="http://schemas.openxmlformats.org/officeDocument/2006/relationships/hyperlink" Target="mailto:leo_dr94@hotmail.com" TargetMode="External"/><Relationship Id="rId22" Type="http://schemas.openxmlformats.org/officeDocument/2006/relationships/hyperlink" Target="mailto:observatorio.cultura@cali.gov.co" TargetMode="External"/><Relationship Id="rId27" Type="http://schemas.openxmlformats.org/officeDocument/2006/relationships/hyperlink" Target="mailto:luz.pineda@cali.gov.co" TargetMode="External"/><Relationship Id="rId30" Type="http://schemas.openxmlformats.org/officeDocument/2006/relationships/hyperlink" Target="mailto:alicia.torres@cali.gov.co" TargetMode="External"/><Relationship Id="rId35" Type="http://schemas.openxmlformats.org/officeDocument/2006/relationships/hyperlink" Target="mailto:maria.pedraza@cali.gov.co" TargetMode="External"/><Relationship Id="rId43" Type="http://schemas.openxmlformats.org/officeDocument/2006/relationships/hyperlink" Target="mailto:victomu@gmail.com" TargetMode="External"/><Relationship Id="rId48" Type="http://schemas.openxmlformats.org/officeDocument/2006/relationships/hyperlink" Target="mailto:rubend.aristizabalo@gmail.com" TargetMode="External"/><Relationship Id="rId56" Type="http://schemas.openxmlformats.org/officeDocument/2006/relationships/hyperlink" Target="mailto:anthony.garces@cali.gov.co" TargetMode="External"/><Relationship Id="rId8" Type="http://schemas.openxmlformats.org/officeDocument/2006/relationships/hyperlink" Target="mailto:yenni.angel@cali.gov.co" TargetMode="External"/><Relationship Id="rId51" Type="http://schemas.openxmlformats.org/officeDocument/2006/relationships/hyperlink" Target="mailto:davidsotobello@gmail.com" TargetMode="External"/><Relationship Id="rId3" Type="http://schemas.openxmlformats.org/officeDocument/2006/relationships/hyperlink" Target="mailto:lucia.jaramillo@cali.gov.co" TargetMode="External"/><Relationship Id="rId12" Type="http://schemas.openxmlformats.org/officeDocument/2006/relationships/hyperlink" Target="mailto:andresaranalopez@gmail.com" TargetMode="External"/><Relationship Id="rId17" Type="http://schemas.openxmlformats.org/officeDocument/2006/relationships/hyperlink" Target="mailto:danielacuencaplaneacion@gmail.com" TargetMode="External"/><Relationship Id="rId25" Type="http://schemas.openxmlformats.org/officeDocument/2006/relationships/hyperlink" Target="mailto:jhonn.rodriguez@cali.gov.co" TargetMode="External"/><Relationship Id="rId33" Type="http://schemas.openxmlformats.org/officeDocument/2006/relationships/hyperlink" Target="mailto:adriana.quinones@cali.edu.co" TargetMode="External"/><Relationship Id="rId38" Type="http://schemas.openxmlformats.org/officeDocument/2006/relationships/hyperlink" Target="mailto:aura.quintero@cali.gov.co" TargetMode="External"/><Relationship Id="rId46" Type="http://schemas.openxmlformats.org/officeDocument/2006/relationships/hyperlink" Target="mailto:camilojuan821@gmail.com" TargetMode="External"/><Relationship Id="rId59" Type="http://schemas.openxmlformats.org/officeDocument/2006/relationships/hyperlink" Target="mailto:calidad.st@cali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5E71-D937-4F57-A4A1-CE5F9372CB71}">
  <dimension ref="A1:N286"/>
  <sheetViews>
    <sheetView topLeftCell="A121" workbookViewId="0">
      <selection activeCell="D3" sqref="D3"/>
    </sheetView>
  </sheetViews>
  <sheetFormatPr baseColWidth="10" defaultRowHeight="24" customHeight="1"/>
  <cols>
    <col min="8" max="8" width="11.42578125" style="170"/>
  </cols>
  <sheetData>
    <row r="1" spans="1:14" ht="24" customHeight="1">
      <c r="A1" s="164" t="s">
        <v>798</v>
      </c>
      <c r="B1" s="164" t="s">
        <v>424</v>
      </c>
      <c r="C1" s="165" t="s">
        <v>799</v>
      </c>
      <c r="D1" s="165" t="s">
        <v>800</v>
      </c>
      <c r="E1" s="165" t="s">
        <v>801</v>
      </c>
      <c r="F1" s="165" t="s">
        <v>802</v>
      </c>
      <c r="G1" s="165" t="s">
        <v>803</v>
      </c>
      <c r="H1" s="165" t="s">
        <v>804</v>
      </c>
      <c r="I1" s="165" t="s">
        <v>10</v>
      </c>
      <c r="J1" s="165" t="s">
        <v>11</v>
      </c>
      <c r="K1" s="165" t="s">
        <v>805</v>
      </c>
      <c r="L1" s="165" t="s">
        <v>806</v>
      </c>
      <c r="M1" s="165" t="s">
        <v>85</v>
      </c>
      <c r="N1" s="165" t="s">
        <v>807</v>
      </c>
    </row>
    <row r="2" spans="1:14" ht="24" customHeight="1">
      <c r="A2" s="163">
        <v>4124</v>
      </c>
      <c r="B2" s="163" t="s">
        <v>87</v>
      </c>
      <c r="C2" s="165" t="s">
        <v>34</v>
      </c>
      <c r="D2" s="165" t="s">
        <v>35</v>
      </c>
      <c r="E2" s="165" t="s">
        <v>36</v>
      </c>
      <c r="F2" s="165">
        <v>3116833324</v>
      </c>
      <c r="G2" s="165" t="s">
        <v>37</v>
      </c>
      <c r="H2" s="169">
        <v>45323</v>
      </c>
      <c r="I2" s="165">
        <v>0</v>
      </c>
      <c r="J2" s="165">
        <v>3</v>
      </c>
      <c r="K2" s="165">
        <v>4</v>
      </c>
      <c r="L2" s="165">
        <v>7</v>
      </c>
      <c r="M2" s="165">
        <v>0</v>
      </c>
      <c r="N2" s="165">
        <v>3</v>
      </c>
    </row>
    <row r="3" spans="1:14" ht="24" customHeight="1">
      <c r="A3" s="162">
        <v>4124</v>
      </c>
      <c r="B3" s="162" t="s">
        <v>87</v>
      </c>
      <c r="C3" s="165" t="s">
        <v>34</v>
      </c>
      <c r="D3" s="165" t="s">
        <v>40</v>
      </c>
      <c r="E3" s="165" t="s">
        <v>41</v>
      </c>
      <c r="F3" s="165">
        <v>3202104719</v>
      </c>
      <c r="G3" s="165" t="s">
        <v>42</v>
      </c>
      <c r="H3" s="169">
        <v>45323</v>
      </c>
      <c r="I3" s="165">
        <v>0</v>
      </c>
      <c r="J3" s="165">
        <v>2</v>
      </c>
      <c r="K3" s="165">
        <v>3</v>
      </c>
      <c r="L3" s="165">
        <v>2</v>
      </c>
      <c r="M3" s="165">
        <v>0</v>
      </c>
      <c r="N3" s="165">
        <v>2</v>
      </c>
    </row>
    <row r="4" spans="1:14" ht="24" customHeight="1">
      <c r="A4" s="163">
        <v>4124</v>
      </c>
      <c r="B4" s="163" t="s">
        <v>87</v>
      </c>
      <c r="C4" s="165" t="s">
        <v>34</v>
      </c>
      <c r="D4" s="165" t="s">
        <v>43</v>
      </c>
      <c r="E4" s="165" t="s">
        <v>44</v>
      </c>
      <c r="F4" s="165">
        <v>3137032246</v>
      </c>
      <c r="G4" s="165" t="s">
        <v>45</v>
      </c>
      <c r="H4" s="169">
        <v>45352</v>
      </c>
      <c r="I4" s="165">
        <v>0</v>
      </c>
      <c r="J4" s="165">
        <v>1</v>
      </c>
      <c r="K4" s="165">
        <v>2</v>
      </c>
      <c r="L4" s="165">
        <v>4</v>
      </c>
      <c r="M4" s="165">
        <v>0</v>
      </c>
      <c r="N4" s="165">
        <v>1</v>
      </c>
    </row>
    <row r="5" spans="1:14" ht="24" customHeight="1">
      <c r="A5" s="162">
        <v>4124</v>
      </c>
      <c r="B5" s="162" t="s">
        <v>87</v>
      </c>
      <c r="C5" s="165" t="s">
        <v>34</v>
      </c>
      <c r="D5" s="165" t="s">
        <v>46</v>
      </c>
      <c r="E5" s="165" t="s">
        <v>47</v>
      </c>
      <c r="F5" s="165">
        <v>3013265540</v>
      </c>
      <c r="G5" s="166" t="s">
        <v>42</v>
      </c>
      <c r="H5" s="169">
        <v>45383</v>
      </c>
      <c r="I5" s="165">
        <v>0</v>
      </c>
      <c r="J5" s="165">
        <v>4</v>
      </c>
      <c r="K5" s="165">
        <v>5</v>
      </c>
      <c r="L5" s="165">
        <v>6</v>
      </c>
      <c r="M5" s="165">
        <v>0</v>
      </c>
      <c r="N5" s="165">
        <v>4</v>
      </c>
    </row>
    <row r="6" spans="1:14" ht="24" customHeight="1">
      <c r="A6" s="163">
        <v>4124</v>
      </c>
      <c r="B6" s="163" t="s">
        <v>87</v>
      </c>
      <c r="C6" s="165" t="s">
        <v>34</v>
      </c>
      <c r="D6" s="165" t="s">
        <v>48</v>
      </c>
      <c r="E6" s="165" t="s">
        <v>49</v>
      </c>
      <c r="F6" s="165">
        <v>3188945514</v>
      </c>
      <c r="G6" s="165" t="s">
        <v>50</v>
      </c>
      <c r="H6" s="169">
        <v>45352</v>
      </c>
      <c r="I6" s="165">
        <v>0</v>
      </c>
      <c r="J6" s="165">
        <v>3</v>
      </c>
      <c r="K6" s="165">
        <v>4</v>
      </c>
      <c r="L6" s="165">
        <v>4</v>
      </c>
      <c r="M6" s="165">
        <v>0</v>
      </c>
      <c r="N6" s="165">
        <v>3</v>
      </c>
    </row>
    <row r="7" spans="1:14" ht="24" customHeight="1">
      <c r="A7" s="162">
        <v>4124</v>
      </c>
      <c r="B7" s="162" t="s">
        <v>87</v>
      </c>
      <c r="C7" s="165" t="s">
        <v>51</v>
      </c>
      <c r="D7" s="165" t="s">
        <v>52</v>
      </c>
      <c r="E7" s="165" t="s">
        <v>53</v>
      </c>
      <c r="F7" s="165">
        <v>3116282332</v>
      </c>
      <c r="G7" s="165" t="s">
        <v>54</v>
      </c>
      <c r="H7" s="169">
        <v>45292</v>
      </c>
      <c r="I7" s="165">
        <v>0</v>
      </c>
      <c r="J7" s="165">
        <v>2</v>
      </c>
      <c r="K7" s="165">
        <v>3</v>
      </c>
      <c r="L7" s="165">
        <v>2</v>
      </c>
      <c r="M7" s="165">
        <v>0</v>
      </c>
      <c r="N7" s="165">
        <v>3</v>
      </c>
    </row>
    <row r="8" spans="1:14" ht="24" customHeight="1">
      <c r="A8" s="163">
        <v>4124</v>
      </c>
      <c r="B8" s="163" t="s">
        <v>87</v>
      </c>
      <c r="C8" s="165" t="s">
        <v>55</v>
      </c>
      <c r="D8" s="165" t="s">
        <v>56</v>
      </c>
      <c r="E8" s="165" t="s">
        <v>57</v>
      </c>
      <c r="F8" s="165">
        <v>3116203526</v>
      </c>
      <c r="G8" s="165" t="s">
        <v>58</v>
      </c>
      <c r="H8" s="169">
        <v>45323</v>
      </c>
      <c r="I8" s="165">
        <v>0</v>
      </c>
      <c r="J8" s="165">
        <v>2</v>
      </c>
      <c r="K8" s="165">
        <v>3</v>
      </c>
      <c r="L8" s="165">
        <v>1</v>
      </c>
      <c r="M8" s="165">
        <v>0</v>
      </c>
      <c r="N8" s="165">
        <v>3</v>
      </c>
    </row>
    <row r="9" spans="1:14" ht="24" customHeight="1">
      <c r="A9" s="162">
        <v>4124</v>
      </c>
      <c r="B9" s="162" t="s">
        <v>87</v>
      </c>
      <c r="C9" s="165" t="s">
        <v>59</v>
      </c>
      <c r="D9" s="165" t="s">
        <v>60</v>
      </c>
      <c r="E9" s="165" t="s">
        <v>61</v>
      </c>
      <c r="F9" s="165">
        <v>3167101689</v>
      </c>
      <c r="G9" s="165" t="s">
        <v>62</v>
      </c>
      <c r="H9" s="169">
        <v>45444</v>
      </c>
      <c r="I9" s="165">
        <v>0</v>
      </c>
      <c r="J9" s="165">
        <v>4</v>
      </c>
      <c r="K9" s="165">
        <v>5</v>
      </c>
      <c r="L9" s="165">
        <v>8</v>
      </c>
      <c r="M9" s="165">
        <v>0</v>
      </c>
      <c r="N9" s="165">
        <v>4</v>
      </c>
    </row>
    <row r="10" spans="1:14" ht="24" customHeight="1">
      <c r="A10" s="163">
        <v>4124</v>
      </c>
      <c r="B10" s="163" t="s">
        <v>87</v>
      </c>
      <c r="C10" s="165" t="s">
        <v>59</v>
      </c>
      <c r="D10" s="165" t="s">
        <v>63</v>
      </c>
      <c r="E10" s="165" t="s">
        <v>64</v>
      </c>
      <c r="F10" s="165">
        <v>3128669498</v>
      </c>
      <c r="G10" s="165" t="s">
        <v>37</v>
      </c>
      <c r="H10" s="169">
        <v>45292</v>
      </c>
      <c r="I10" s="165">
        <v>4</v>
      </c>
      <c r="J10" s="165">
        <v>0</v>
      </c>
      <c r="K10" s="165">
        <v>1</v>
      </c>
      <c r="L10" s="165">
        <v>3</v>
      </c>
      <c r="M10" s="165">
        <v>1</v>
      </c>
      <c r="N10" s="165">
        <v>4</v>
      </c>
    </row>
    <row r="11" spans="1:14" ht="24" customHeight="1">
      <c r="A11" s="162">
        <v>4124</v>
      </c>
      <c r="B11" s="162" t="s">
        <v>87</v>
      </c>
      <c r="C11" s="165" t="s">
        <v>66</v>
      </c>
      <c r="D11" s="165" t="s">
        <v>67</v>
      </c>
      <c r="E11" s="165" t="s">
        <v>68</v>
      </c>
      <c r="F11" s="165">
        <v>3114310733</v>
      </c>
      <c r="G11" s="165" t="s">
        <v>69</v>
      </c>
      <c r="H11" s="169">
        <v>45292</v>
      </c>
      <c r="I11" s="165">
        <v>0</v>
      </c>
      <c r="J11" s="165">
        <v>2</v>
      </c>
      <c r="K11" s="165">
        <v>3</v>
      </c>
      <c r="L11" s="165">
        <v>2</v>
      </c>
      <c r="M11" s="165">
        <v>0</v>
      </c>
      <c r="N11" s="165">
        <v>2</v>
      </c>
    </row>
    <row r="12" spans="1:14" ht="24" customHeight="1">
      <c r="A12" s="163">
        <v>4124</v>
      </c>
      <c r="B12" s="163" t="s">
        <v>87</v>
      </c>
      <c r="C12" s="165" t="s">
        <v>66</v>
      </c>
      <c r="D12" s="165" t="s">
        <v>70</v>
      </c>
      <c r="E12" s="165" t="s">
        <v>71</v>
      </c>
      <c r="F12" s="165">
        <v>3113665258</v>
      </c>
      <c r="G12" s="165" t="s">
        <v>50</v>
      </c>
      <c r="H12" s="169">
        <v>45292</v>
      </c>
      <c r="I12" s="165">
        <v>1</v>
      </c>
      <c r="J12" s="165">
        <v>0</v>
      </c>
      <c r="K12" s="165">
        <v>1</v>
      </c>
      <c r="L12" s="165">
        <v>1</v>
      </c>
      <c r="M12" s="165">
        <v>1</v>
      </c>
      <c r="N12" s="165">
        <v>1</v>
      </c>
    </row>
    <row r="13" spans="1:14" ht="24" customHeight="1">
      <c r="A13" s="162">
        <v>4124</v>
      </c>
      <c r="B13" s="162" t="s">
        <v>87</v>
      </c>
      <c r="C13" s="165" t="s">
        <v>72</v>
      </c>
      <c r="D13" s="165" t="s">
        <v>73</v>
      </c>
      <c r="E13" s="165" t="s">
        <v>74</v>
      </c>
      <c r="F13" s="165">
        <v>3123274074</v>
      </c>
      <c r="G13" s="165" t="s">
        <v>75</v>
      </c>
      <c r="H13" s="169">
        <v>45474</v>
      </c>
      <c r="I13" s="165">
        <v>0</v>
      </c>
      <c r="J13" s="165">
        <v>3</v>
      </c>
      <c r="K13" s="165">
        <v>4</v>
      </c>
      <c r="L13" s="165">
        <v>2</v>
      </c>
      <c r="M13" s="165">
        <v>0</v>
      </c>
      <c r="N13" s="165">
        <v>3</v>
      </c>
    </row>
    <row r="14" spans="1:14" ht="24" customHeight="1">
      <c r="A14" s="163">
        <v>4124</v>
      </c>
      <c r="B14" s="163" t="s">
        <v>87</v>
      </c>
      <c r="C14" s="165" t="s">
        <v>76</v>
      </c>
      <c r="D14" s="165" t="s">
        <v>77</v>
      </c>
      <c r="E14" s="165" t="s">
        <v>78</v>
      </c>
      <c r="F14" s="165">
        <v>3178341515</v>
      </c>
      <c r="G14" s="167" t="s">
        <v>79</v>
      </c>
      <c r="H14" s="169">
        <v>45292</v>
      </c>
      <c r="I14" s="165">
        <v>0</v>
      </c>
      <c r="J14" s="165">
        <v>3</v>
      </c>
      <c r="K14" s="165">
        <v>4</v>
      </c>
      <c r="L14" s="165">
        <v>2</v>
      </c>
      <c r="M14" s="165">
        <v>0</v>
      </c>
      <c r="N14" s="165">
        <v>3</v>
      </c>
    </row>
    <row r="15" spans="1:14" ht="24" customHeight="1">
      <c r="A15" s="162">
        <v>4135</v>
      </c>
      <c r="B15" s="162" t="s">
        <v>104</v>
      </c>
      <c r="C15" s="165" t="s">
        <v>88</v>
      </c>
      <c r="D15" s="165" t="s">
        <v>89</v>
      </c>
      <c r="E15" s="165" t="s">
        <v>90</v>
      </c>
      <c r="F15" s="165">
        <v>3157159525</v>
      </c>
      <c r="G15" s="165">
        <v>5</v>
      </c>
      <c r="H15" s="169">
        <v>45323</v>
      </c>
      <c r="I15" s="165">
        <v>0</v>
      </c>
      <c r="J15" s="165">
        <v>4</v>
      </c>
      <c r="K15" s="165">
        <v>5</v>
      </c>
      <c r="L15" s="165">
        <v>7</v>
      </c>
      <c r="M15" s="165">
        <v>1</v>
      </c>
      <c r="N15" s="165">
        <v>5</v>
      </c>
    </row>
    <row r="16" spans="1:14" ht="24" customHeight="1">
      <c r="A16" s="163">
        <v>4135</v>
      </c>
      <c r="B16" s="163" t="s">
        <v>104</v>
      </c>
      <c r="C16" s="165" t="s">
        <v>91</v>
      </c>
      <c r="D16" s="165" t="s">
        <v>92</v>
      </c>
      <c r="E16" s="165" t="s">
        <v>93</v>
      </c>
      <c r="F16" s="165">
        <v>3155617976</v>
      </c>
      <c r="G16" s="165">
        <v>10</v>
      </c>
      <c r="H16" s="169">
        <v>45689</v>
      </c>
      <c r="I16" s="165">
        <v>0</v>
      </c>
      <c r="J16" s="165">
        <v>3</v>
      </c>
      <c r="K16" s="165">
        <v>4</v>
      </c>
      <c r="L16" s="165">
        <v>7</v>
      </c>
      <c r="M16" s="165">
        <v>1</v>
      </c>
      <c r="N16" s="165">
        <v>4</v>
      </c>
    </row>
    <row r="17" spans="1:14" ht="24" customHeight="1">
      <c r="A17" s="162">
        <v>4135</v>
      </c>
      <c r="B17" s="162" t="s">
        <v>104</v>
      </c>
      <c r="C17" s="165" t="s">
        <v>95</v>
      </c>
      <c r="D17" s="165" t="s">
        <v>96</v>
      </c>
      <c r="E17" s="165" t="s">
        <v>97</v>
      </c>
      <c r="F17" s="165">
        <v>3112465334</v>
      </c>
      <c r="G17" s="165">
        <v>5</v>
      </c>
      <c r="H17" s="169">
        <v>45323</v>
      </c>
      <c r="I17" s="165">
        <v>0</v>
      </c>
      <c r="J17" s="165">
        <v>4</v>
      </c>
      <c r="K17" s="165">
        <v>5</v>
      </c>
      <c r="L17" s="165">
        <v>7</v>
      </c>
      <c r="M17" s="165">
        <v>1</v>
      </c>
      <c r="N17" s="165">
        <v>5</v>
      </c>
    </row>
    <row r="18" spans="1:14" ht="24" customHeight="1">
      <c r="A18" s="163">
        <v>4135</v>
      </c>
      <c r="B18" s="163" t="s">
        <v>104</v>
      </c>
      <c r="C18" s="165" t="s">
        <v>98</v>
      </c>
      <c r="D18" s="165" t="s">
        <v>99</v>
      </c>
      <c r="E18" s="165" t="s">
        <v>100</v>
      </c>
      <c r="F18" s="165">
        <v>3212145182</v>
      </c>
      <c r="G18" s="165">
        <v>40</v>
      </c>
      <c r="H18" s="169">
        <v>45323</v>
      </c>
      <c r="I18" s="165">
        <v>0</v>
      </c>
      <c r="J18" s="165">
        <v>4</v>
      </c>
      <c r="K18" s="165">
        <v>5</v>
      </c>
      <c r="L18" s="165">
        <v>7</v>
      </c>
      <c r="M18" s="165">
        <v>1</v>
      </c>
      <c r="N18" s="165">
        <v>4</v>
      </c>
    </row>
    <row r="19" spans="1:14" ht="24" customHeight="1">
      <c r="A19" s="162">
        <v>4135</v>
      </c>
      <c r="B19" s="162" t="s">
        <v>104</v>
      </c>
      <c r="C19" s="165" t="s">
        <v>101</v>
      </c>
      <c r="D19" s="165" t="s">
        <v>102</v>
      </c>
      <c r="E19" s="165" t="s">
        <v>103</v>
      </c>
      <c r="F19" s="165">
        <v>3013452601</v>
      </c>
      <c r="G19" s="165">
        <v>10</v>
      </c>
      <c r="H19" s="169">
        <v>42767</v>
      </c>
      <c r="I19" s="165">
        <v>0</v>
      </c>
      <c r="J19" s="165">
        <v>4</v>
      </c>
      <c r="K19" s="165">
        <v>5</v>
      </c>
      <c r="L19" s="165">
        <v>7</v>
      </c>
      <c r="M19" s="165">
        <v>1</v>
      </c>
      <c r="N19" s="165">
        <v>4</v>
      </c>
    </row>
    <row r="20" spans="1:14" ht="24" customHeight="1">
      <c r="A20" s="163">
        <v>4133</v>
      </c>
      <c r="B20" s="163" t="s">
        <v>136</v>
      </c>
      <c r="C20" s="165" t="s">
        <v>105</v>
      </c>
      <c r="D20" s="165" t="s">
        <v>106</v>
      </c>
      <c r="E20" s="165" t="s">
        <v>107</v>
      </c>
      <c r="F20" s="165">
        <v>3112801088</v>
      </c>
      <c r="G20" s="165"/>
      <c r="H20" s="169">
        <v>45536</v>
      </c>
      <c r="I20" s="165">
        <v>0</v>
      </c>
      <c r="J20" s="165">
        <v>3</v>
      </c>
      <c r="K20" s="165">
        <v>4</v>
      </c>
      <c r="L20" s="165">
        <v>2</v>
      </c>
      <c r="M20" s="165">
        <v>0</v>
      </c>
      <c r="N20" s="165">
        <v>3</v>
      </c>
    </row>
    <row r="21" spans="1:14" ht="24" customHeight="1">
      <c r="A21" s="162">
        <v>4133</v>
      </c>
      <c r="B21" s="162" t="s">
        <v>136</v>
      </c>
      <c r="C21" s="165" t="s">
        <v>109</v>
      </c>
      <c r="D21" s="165" t="s">
        <v>110</v>
      </c>
      <c r="E21" s="165" t="s">
        <v>111</v>
      </c>
      <c r="F21" s="165">
        <v>3132714854</v>
      </c>
      <c r="G21" s="165"/>
      <c r="H21" s="169">
        <v>42826</v>
      </c>
      <c r="I21" s="165">
        <v>0</v>
      </c>
      <c r="J21" s="165">
        <v>3</v>
      </c>
      <c r="K21" s="165">
        <v>4</v>
      </c>
      <c r="L21" s="165">
        <v>2</v>
      </c>
      <c r="M21" s="165">
        <v>0</v>
      </c>
      <c r="N21" s="165">
        <v>3</v>
      </c>
    </row>
    <row r="22" spans="1:14" ht="24" customHeight="1">
      <c r="A22" s="163">
        <v>4133</v>
      </c>
      <c r="B22" s="163" t="s">
        <v>136</v>
      </c>
      <c r="C22" s="165" t="s">
        <v>112</v>
      </c>
      <c r="D22" s="165" t="s">
        <v>113</v>
      </c>
      <c r="E22" s="165" t="s">
        <v>114</v>
      </c>
      <c r="F22" s="165">
        <v>3106033219</v>
      </c>
      <c r="G22" s="165"/>
      <c r="H22" s="169">
        <v>45444</v>
      </c>
      <c r="I22" s="165">
        <v>0</v>
      </c>
      <c r="J22" s="165">
        <v>3</v>
      </c>
      <c r="K22" s="165">
        <v>4</v>
      </c>
      <c r="L22" s="165">
        <v>2</v>
      </c>
      <c r="M22" s="165">
        <v>0</v>
      </c>
      <c r="N22" s="165">
        <v>3</v>
      </c>
    </row>
    <row r="23" spans="1:14" ht="24" customHeight="1">
      <c r="A23" s="162">
        <v>4133</v>
      </c>
      <c r="B23" s="162" t="s">
        <v>136</v>
      </c>
      <c r="C23" s="165" t="s">
        <v>115</v>
      </c>
      <c r="D23" s="165" t="s">
        <v>116</v>
      </c>
      <c r="E23" s="165" t="s">
        <v>117</v>
      </c>
      <c r="F23" s="165">
        <v>3183837135</v>
      </c>
      <c r="G23" s="165"/>
      <c r="H23" s="169">
        <v>45536</v>
      </c>
      <c r="I23" s="165">
        <v>0</v>
      </c>
      <c r="J23" s="165">
        <v>3</v>
      </c>
      <c r="K23" s="165">
        <v>4</v>
      </c>
      <c r="L23" s="165">
        <v>4</v>
      </c>
      <c r="M23" s="165">
        <v>0</v>
      </c>
      <c r="N23" s="165">
        <v>3</v>
      </c>
    </row>
    <row r="24" spans="1:14" ht="24" customHeight="1">
      <c r="A24" s="163">
        <v>4133</v>
      </c>
      <c r="B24" s="163" t="s">
        <v>136</v>
      </c>
      <c r="C24" s="165" t="s">
        <v>118</v>
      </c>
      <c r="D24" s="165" t="s">
        <v>119</v>
      </c>
      <c r="E24" s="165" t="s">
        <v>120</v>
      </c>
      <c r="F24" s="165"/>
      <c r="G24" s="165"/>
      <c r="H24" s="169">
        <v>45536</v>
      </c>
      <c r="I24" s="165">
        <v>0</v>
      </c>
      <c r="J24" s="165">
        <v>3</v>
      </c>
      <c r="K24" s="165">
        <v>4</v>
      </c>
      <c r="L24" s="165">
        <v>2</v>
      </c>
      <c r="M24" s="165">
        <v>0</v>
      </c>
      <c r="N24" s="165">
        <v>3</v>
      </c>
    </row>
    <row r="25" spans="1:14" ht="24" customHeight="1">
      <c r="A25" s="162">
        <v>4133</v>
      </c>
      <c r="B25" s="162" t="s">
        <v>136</v>
      </c>
      <c r="C25" s="165" t="s">
        <v>121</v>
      </c>
      <c r="D25" s="165" t="s">
        <v>122</v>
      </c>
      <c r="E25" s="165" t="s">
        <v>123</v>
      </c>
      <c r="F25" s="165">
        <v>3147296377</v>
      </c>
      <c r="G25" s="165"/>
      <c r="H25" s="169">
        <v>45536</v>
      </c>
      <c r="I25" s="165">
        <v>0</v>
      </c>
      <c r="J25" s="165">
        <v>3</v>
      </c>
      <c r="K25" s="165">
        <v>4</v>
      </c>
      <c r="L25" s="165">
        <v>2</v>
      </c>
      <c r="M25" s="165">
        <v>0</v>
      </c>
      <c r="N25" s="165">
        <v>3</v>
      </c>
    </row>
    <row r="26" spans="1:14" ht="24" customHeight="1">
      <c r="A26" s="163">
        <v>4133</v>
      </c>
      <c r="B26" s="163" t="s">
        <v>136</v>
      </c>
      <c r="C26" s="165" t="s">
        <v>124</v>
      </c>
      <c r="D26" s="165" t="s">
        <v>125</v>
      </c>
      <c r="E26" s="165" t="s">
        <v>126</v>
      </c>
      <c r="F26" s="165">
        <v>3163387204</v>
      </c>
      <c r="G26" s="165"/>
      <c r="H26" s="169">
        <v>45536</v>
      </c>
      <c r="I26" s="165">
        <v>0</v>
      </c>
      <c r="J26" s="165">
        <v>3</v>
      </c>
      <c r="K26" s="165">
        <v>4</v>
      </c>
      <c r="L26" s="165">
        <v>4</v>
      </c>
      <c r="M26" s="165">
        <v>0</v>
      </c>
      <c r="N26" s="165">
        <v>3</v>
      </c>
    </row>
    <row r="27" spans="1:14" ht="24" customHeight="1">
      <c r="A27" s="162">
        <v>4133</v>
      </c>
      <c r="B27" s="162" t="s">
        <v>136</v>
      </c>
      <c r="C27" s="165" t="s">
        <v>127</v>
      </c>
      <c r="D27" s="165" t="s">
        <v>128</v>
      </c>
      <c r="E27" s="165" t="s">
        <v>129</v>
      </c>
      <c r="F27" s="165">
        <v>3008948452</v>
      </c>
      <c r="G27" s="165"/>
      <c r="H27" s="169">
        <v>45536</v>
      </c>
      <c r="I27" s="165">
        <v>0</v>
      </c>
      <c r="J27" s="165">
        <v>3</v>
      </c>
      <c r="K27" s="165">
        <v>4</v>
      </c>
      <c r="L27" s="165">
        <v>3</v>
      </c>
      <c r="M27" s="165">
        <v>0</v>
      </c>
      <c r="N27" s="165">
        <v>3</v>
      </c>
    </row>
    <row r="28" spans="1:14" ht="24" customHeight="1">
      <c r="A28" s="163">
        <v>4133</v>
      </c>
      <c r="B28" s="163" t="s">
        <v>136</v>
      </c>
      <c r="C28" s="165" t="s">
        <v>130</v>
      </c>
      <c r="D28" s="165" t="s">
        <v>131</v>
      </c>
      <c r="E28" s="165" t="s">
        <v>132</v>
      </c>
      <c r="F28" s="165">
        <v>3163916760</v>
      </c>
      <c r="G28" s="165"/>
      <c r="H28" s="169">
        <v>45536</v>
      </c>
      <c r="I28" s="165">
        <v>0</v>
      </c>
      <c r="J28" s="165">
        <v>3</v>
      </c>
      <c r="K28" s="165">
        <v>4</v>
      </c>
      <c r="L28" s="165">
        <v>3</v>
      </c>
      <c r="M28" s="165">
        <v>0</v>
      </c>
      <c r="N28" s="165">
        <v>3</v>
      </c>
    </row>
    <row r="29" spans="1:14" ht="24" customHeight="1">
      <c r="A29" s="162">
        <v>4133</v>
      </c>
      <c r="B29" s="162" t="s">
        <v>136</v>
      </c>
      <c r="C29" s="165" t="s">
        <v>133</v>
      </c>
      <c r="D29" s="165" t="s">
        <v>134</v>
      </c>
      <c r="E29" s="165" t="s">
        <v>135</v>
      </c>
      <c r="F29" s="165">
        <v>3016793439</v>
      </c>
      <c r="G29" s="165"/>
      <c r="H29" s="169">
        <v>45536</v>
      </c>
      <c r="I29" s="165">
        <v>0</v>
      </c>
      <c r="J29" s="165">
        <v>3</v>
      </c>
      <c r="K29" s="165">
        <v>4</v>
      </c>
      <c r="L29" s="165">
        <v>4</v>
      </c>
      <c r="M29" s="165">
        <v>0</v>
      </c>
      <c r="N29" s="165">
        <v>3</v>
      </c>
    </row>
    <row r="30" spans="1:14" ht="24" customHeight="1">
      <c r="A30" s="163">
        <v>4131</v>
      </c>
      <c r="B30" s="163" t="s">
        <v>209</v>
      </c>
      <c r="C30" s="165" t="s">
        <v>137</v>
      </c>
      <c r="D30" s="165" t="s">
        <v>138</v>
      </c>
      <c r="E30" s="165" t="s">
        <v>139</v>
      </c>
      <c r="F30" s="165">
        <v>3172950439</v>
      </c>
      <c r="G30" s="165">
        <v>28</v>
      </c>
      <c r="H30" s="169">
        <v>42736</v>
      </c>
      <c r="I30" s="165">
        <v>0</v>
      </c>
      <c r="J30" s="165">
        <v>4</v>
      </c>
      <c r="K30" s="165">
        <v>5</v>
      </c>
      <c r="L30" s="165">
        <v>8</v>
      </c>
      <c r="M30" s="165">
        <v>0</v>
      </c>
      <c r="N30" s="165">
        <v>4</v>
      </c>
    </row>
    <row r="31" spans="1:14" ht="24" customHeight="1">
      <c r="A31" s="162">
        <v>4131</v>
      </c>
      <c r="B31" s="162" t="s">
        <v>209</v>
      </c>
      <c r="C31" s="165" t="s">
        <v>137</v>
      </c>
      <c r="D31" s="165" t="s">
        <v>140</v>
      </c>
      <c r="E31" s="165" t="s">
        <v>141</v>
      </c>
      <c r="F31" s="165">
        <v>3137166138</v>
      </c>
      <c r="G31" s="165">
        <v>30</v>
      </c>
      <c r="H31" s="169">
        <v>44197</v>
      </c>
      <c r="I31" s="165">
        <v>0</v>
      </c>
      <c r="J31" s="165">
        <v>4</v>
      </c>
      <c r="K31" s="165">
        <v>5</v>
      </c>
      <c r="L31" s="165">
        <v>8</v>
      </c>
      <c r="M31" s="165">
        <v>0</v>
      </c>
      <c r="N31" s="165">
        <v>3</v>
      </c>
    </row>
    <row r="32" spans="1:14" ht="24" customHeight="1">
      <c r="A32" s="163">
        <v>4131</v>
      </c>
      <c r="B32" s="163" t="s">
        <v>209</v>
      </c>
      <c r="C32" s="165" t="s">
        <v>142</v>
      </c>
      <c r="D32" s="165" t="s">
        <v>143</v>
      </c>
      <c r="E32" s="165" t="s">
        <v>144</v>
      </c>
      <c r="F32" s="165">
        <v>3225611095</v>
      </c>
      <c r="G32" s="165">
        <v>11</v>
      </c>
      <c r="H32" s="169">
        <v>44197</v>
      </c>
      <c r="I32" s="165">
        <v>0</v>
      </c>
      <c r="J32" s="165">
        <v>3</v>
      </c>
      <c r="K32" s="165">
        <v>4</v>
      </c>
      <c r="L32" s="165">
        <v>1</v>
      </c>
      <c r="M32" s="165">
        <v>0</v>
      </c>
      <c r="N32" s="165">
        <v>4</v>
      </c>
    </row>
    <row r="33" spans="1:14" ht="24" customHeight="1">
      <c r="A33" s="162">
        <v>4131</v>
      </c>
      <c r="B33" s="162" t="s">
        <v>209</v>
      </c>
      <c r="C33" s="165" t="s">
        <v>142</v>
      </c>
      <c r="D33" s="165" t="s">
        <v>145</v>
      </c>
      <c r="E33" s="165" t="s">
        <v>146</v>
      </c>
      <c r="F33" s="165">
        <v>3168226054</v>
      </c>
      <c r="G33" s="165">
        <v>6</v>
      </c>
      <c r="H33" s="169">
        <v>45017</v>
      </c>
      <c r="I33" s="165">
        <v>0</v>
      </c>
      <c r="J33" s="165">
        <v>3</v>
      </c>
      <c r="K33" s="165">
        <v>4</v>
      </c>
      <c r="L33" s="165">
        <v>1</v>
      </c>
      <c r="M33" s="165">
        <v>0</v>
      </c>
      <c r="N33" s="165">
        <v>3</v>
      </c>
    </row>
    <row r="34" spans="1:14" ht="24" customHeight="1">
      <c r="A34" s="163">
        <v>4131</v>
      </c>
      <c r="B34" s="163" t="s">
        <v>209</v>
      </c>
      <c r="C34" s="165" t="s">
        <v>147</v>
      </c>
      <c r="D34" s="165" t="s">
        <v>148</v>
      </c>
      <c r="E34" s="165" t="s">
        <v>149</v>
      </c>
      <c r="F34" s="165" t="s">
        <v>150</v>
      </c>
      <c r="G34" s="165">
        <v>10</v>
      </c>
      <c r="H34" s="169">
        <v>42522</v>
      </c>
      <c r="I34" s="165">
        <v>0</v>
      </c>
      <c r="J34" s="165">
        <v>4</v>
      </c>
      <c r="K34" s="165">
        <v>5</v>
      </c>
      <c r="L34" s="165">
        <v>7</v>
      </c>
      <c r="M34" s="165">
        <v>1</v>
      </c>
      <c r="N34" s="165">
        <v>3</v>
      </c>
    </row>
    <row r="35" spans="1:14" ht="24" customHeight="1">
      <c r="A35" s="162">
        <v>4131</v>
      </c>
      <c r="B35" s="162" t="s">
        <v>209</v>
      </c>
      <c r="C35" s="165" t="s">
        <v>147</v>
      </c>
      <c r="D35" s="165" t="s">
        <v>151</v>
      </c>
      <c r="E35" s="165" t="s">
        <v>152</v>
      </c>
      <c r="F35" s="165">
        <v>3154231399</v>
      </c>
      <c r="G35" s="165">
        <v>4</v>
      </c>
      <c r="H35" s="169">
        <v>44593</v>
      </c>
      <c r="I35" s="165">
        <v>0</v>
      </c>
      <c r="J35" s="165">
        <v>3</v>
      </c>
      <c r="K35" s="165">
        <v>4</v>
      </c>
      <c r="L35" s="165">
        <v>6</v>
      </c>
      <c r="M35" s="165">
        <v>1</v>
      </c>
      <c r="N35" s="165">
        <v>5</v>
      </c>
    </row>
    <row r="36" spans="1:14" ht="24" customHeight="1">
      <c r="A36" s="163">
        <v>4131</v>
      </c>
      <c r="B36" s="163" t="s">
        <v>209</v>
      </c>
      <c r="C36" s="165" t="s">
        <v>147</v>
      </c>
      <c r="D36" s="165" t="s">
        <v>153</v>
      </c>
      <c r="E36" s="165" t="s">
        <v>154</v>
      </c>
      <c r="F36" s="165">
        <v>3187756691</v>
      </c>
      <c r="G36" s="165">
        <v>4</v>
      </c>
      <c r="H36" s="169">
        <v>44470</v>
      </c>
      <c r="I36" s="165">
        <v>0</v>
      </c>
      <c r="J36" s="165">
        <v>3</v>
      </c>
      <c r="K36" s="165">
        <v>4</v>
      </c>
      <c r="L36" s="165">
        <v>4</v>
      </c>
      <c r="M36" s="165">
        <v>1</v>
      </c>
      <c r="N36" s="165">
        <v>3</v>
      </c>
    </row>
    <row r="37" spans="1:14" ht="24" customHeight="1">
      <c r="A37" s="162">
        <v>4131</v>
      </c>
      <c r="B37" s="162" t="s">
        <v>209</v>
      </c>
      <c r="C37" s="165" t="s">
        <v>147</v>
      </c>
      <c r="D37" s="165" t="s">
        <v>155</v>
      </c>
      <c r="E37" s="165" t="s">
        <v>156</v>
      </c>
      <c r="F37" s="165">
        <v>3154985276</v>
      </c>
      <c r="G37" s="165">
        <v>6</v>
      </c>
      <c r="H37" s="169">
        <v>45717</v>
      </c>
      <c r="I37" s="165">
        <v>0</v>
      </c>
      <c r="J37" s="165">
        <v>2</v>
      </c>
      <c r="K37" s="165">
        <v>3</v>
      </c>
      <c r="L37" s="165">
        <v>1</v>
      </c>
      <c r="M37" s="165">
        <v>0</v>
      </c>
      <c r="N37" s="165">
        <v>2</v>
      </c>
    </row>
    <row r="38" spans="1:14" ht="24" customHeight="1">
      <c r="A38" s="163">
        <v>4131</v>
      </c>
      <c r="B38" s="163" t="s">
        <v>209</v>
      </c>
      <c r="C38" s="165" t="s">
        <v>147</v>
      </c>
      <c r="D38" s="165" t="s">
        <v>157</v>
      </c>
      <c r="E38" s="165" t="s">
        <v>158</v>
      </c>
      <c r="F38" s="165">
        <v>3186859661</v>
      </c>
      <c r="G38" s="165">
        <v>8</v>
      </c>
      <c r="H38" s="169">
        <v>45383</v>
      </c>
      <c r="I38" s="165">
        <v>0</v>
      </c>
      <c r="J38" s="165">
        <v>3</v>
      </c>
      <c r="K38" s="165">
        <v>4</v>
      </c>
      <c r="L38" s="165">
        <v>5</v>
      </c>
      <c r="M38" s="165">
        <v>1</v>
      </c>
      <c r="N38" s="165">
        <v>4</v>
      </c>
    </row>
    <row r="39" spans="1:14" ht="24" customHeight="1">
      <c r="A39" s="162">
        <v>4131</v>
      </c>
      <c r="B39" s="162" t="s">
        <v>209</v>
      </c>
      <c r="C39" s="165" t="s">
        <v>147</v>
      </c>
      <c r="D39" s="165" t="s">
        <v>159</v>
      </c>
      <c r="E39" s="165" t="s">
        <v>160</v>
      </c>
      <c r="F39" s="165">
        <v>3044059252</v>
      </c>
      <c r="G39" s="165">
        <v>5</v>
      </c>
      <c r="H39" s="169">
        <v>44866</v>
      </c>
      <c r="I39" s="165">
        <v>0</v>
      </c>
      <c r="J39" s="165">
        <v>3</v>
      </c>
      <c r="K39" s="165">
        <v>4</v>
      </c>
      <c r="L39" s="165">
        <v>3</v>
      </c>
      <c r="M39" s="165">
        <v>0</v>
      </c>
      <c r="N39" s="165">
        <v>4</v>
      </c>
    </row>
    <row r="40" spans="1:14" ht="24" customHeight="1">
      <c r="A40" s="163">
        <v>4131</v>
      </c>
      <c r="B40" s="163" t="s">
        <v>209</v>
      </c>
      <c r="C40" s="165" t="s">
        <v>147</v>
      </c>
      <c r="D40" s="165" t="s">
        <v>161</v>
      </c>
      <c r="E40" s="165" t="s">
        <v>162</v>
      </c>
      <c r="F40" s="165">
        <v>3022213939</v>
      </c>
      <c r="G40" s="165">
        <v>6</v>
      </c>
      <c r="H40" s="169">
        <v>45717</v>
      </c>
      <c r="I40" s="165">
        <v>0</v>
      </c>
      <c r="J40" s="165">
        <v>3</v>
      </c>
      <c r="K40" s="165">
        <v>4</v>
      </c>
      <c r="L40" s="165">
        <v>3</v>
      </c>
      <c r="M40" s="165">
        <v>0</v>
      </c>
      <c r="N40" s="165">
        <v>3</v>
      </c>
    </row>
    <row r="41" spans="1:14" ht="24" customHeight="1">
      <c r="A41" s="162">
        <v>4131</v>
      </c>
      <c r="B41" s="162" t="s">
        <v>209</v>
      </c>
      <c r="C41" s="165" t="s">
        <v>147</v>
      </c>
      <c r="D41" s="165" t="s">
        <v>163</v>
      </c>
      <c r="E41" s="165" t="s">
        <v>164</v>
      </c>
      <c r="F41" s="165">
        <v>3168298455</v>
      </c>
      <c r="G41" s="165">
        <v>18</v>
      </c>
      <c r="H41" s="169">
        <v>44136</v>
      </c>
      <c r="I41" s="165">
        <v>0</v>
      </c>
      <c r="J41" s="165">
        <v>2</v>
      </c>
      <c r="K41" s="165">
        <v>3</v>
      </c>
      <c r="L41" s="165">
        <v>1</v>
      </c>
      <c r="M41" s="165">
        <v>0</v>
      </c>
      <c r="N41" s="165">
        <v>2</v>
      </c>
    </row>
    <row r="42" spans="1:14" ht="24" customHeight="1">
      <c r="A42" s="163">
        <v>4131</v>
      </c>
      <c r="B42" s="163" t="s">
        <v>209</v>
      </c>
      <c r="C42" s="165" t="s">
        <v>147</v>
      </c>
      <c r="D42" s="165" t="s">
        <v>165</v>
      </c>
      <c r="E42" s="165" t="s">
        <v>166</v>
      </c>
      <c r="F42" s="165">
        <v>3206961120</v>
      </c>
      <c r="G42" s="165">
        <v>2</v>
      </c>
      <c r="H42" s="169">
        <v>45870</v>
      </c>
      <c r="I42" s="165">
        <v>0</v>
      </c>
      <c r="J42" s="165">
        <v>3</v>
      </c>
      <c r="K42" s="165">
        <v>4</v>
      </c>
      <c r="L42" s="165">
        <v>3</v>
      </c>
      <c r="M42" s="165">
        <v>0</v>
      </c>
      <c r="N42" s="165">
        <v>3</v>
      </c>
    </row>
    <row r="43" spans="1:14" ht="24" customHeight="1">
      <c r="A43" s="162">
        <v>4131</v>
      </c>
      <c r="B43" s="162" t="s">
        <v>209</v>
      </c>
      <c r="C43" s="165" t="s">
        <v>147</v>
      </c>
      <c r="D43" s="165" t="s">
        <v>167</v>
      </c>
      <c r="E43" s="165" t="s">
        <v>168</v>
      </c>
      <c r="F43" s="165">
        <v>3175329207</v>
      </c>
      <c r="G43" s="165">
        <v>13</v>
      </c>
      <c r="H43" s="169">
        <v>45717</v>
      </c>
      <c r="I43" s="165">
        <v>0</v>
      </c>
      <c r="J43" s="165">
        <v>2</v>
      </c>
      <c r="K43" s="165">
        <v>3</v>
      </c>
      <c r="L43" s="165">
        <v>1</v>
      </c>
      <c r="M43" s="165">
        <v>0</v>
      </c>
      <c r="N43" s="165">
        <v>2</v>
      </c>
    </row>
    <row r="44" spans="1:14" ht="24" customHeight="1">
      <c r="A44" s="163">
        <v>4131</v>
      </c>
      <c r="B44" s="163" t="s">
        <v>209</v>
      </c>
      <c r="C44" s="165" t="s">
        <v>169</v>
      </c>
      <c r="D44" s="165" t="s">
        <v>170</v>
      </c>
      <c r="E44" s="165" t="s">
        <v>171</v>
      </c>
      <c r="F44" s="165">
        <v>3137591028</v>
      </c>
      <c r="G44" s="165">
        <v>19</v>
      </c>
      <c r="H44" s="169">
        <v>44652</v>
      </c>
      <c r="I44" s="165">
        <v>0</v>
      </c>
      <c r="J44" s="165">
        <v>4</v>
      </c>
      <c r="K44" s="165">
        <v>5</v>
      </c>
      <c r="L44" s="165">
        <v>7</v>
      </c>
      <c r="M44" s="165">
        <v>1</v>
      </c>
      <c r="N44" s="165">
        <v>5</v>
      </c>
    </row>
    <row r="45" spans="1:14" ht="24" customHeight="1">
      <c r="A45" s="162">
        <v>4131</v>
      </c>
      <c r="B45" s="162" t="s">
        <v>209</v>
      </c>
      <c r="C45" s="165" t="s">
        <v>169</v>
      </c>
      <c r="D45" s="165" t="s">
        <v>172</v>
      </c>
      <c r="E45" s="165" t="s">
        <v>173</v>
      </c>
      <c r="F45" s="165">
        <v>3104968524</v>
      </c>
      <c r="G45" s="165">
        <v>11</v>
      </c>
      <c r="H45" s="169">
        <v>44652</v>
      </c>
      <c r="I45" s="165">
        <v>0</v>
      </c>
      <c r="J45" s="165">
        <v>4</v>
      </c>
      <c r="K45" s="165">
        <v>5</v>
      </c>
      <c r="L45" s="165">
        <v>7</v>
      </c>
      <c r="M45" s="165">
        <v>1</v>
      </c>
      <c r="N45" s="165">
        <v>5</v>
      </c>
    </row>
    <row r="46" spans="1:14" ht="24" customHeight="1">
      <c r="A46" s="163">
        <v>4131</v>
      </c>
      <c r="B46" s="163" t="s">
        <v>209</v>
      </c>
      <c r="C46" s="165" t="s">
        <v>174</v>
      </c>
      <c r="D46" s="165" t="s">
        <v>175</v>
      </c>
      <c r="E46" s="165" t="s">
        <v>176</v>
      </c>
      <c r="F46" s="165">
        <v>3113578463</v>
      </c>
      <c r="G46" s="165">
        <v>10</v>
      </c>
      <c r="H46" s="169">
        <v>41640</v>
      </c>
      <c r="I46" s="165">
        <v>0</v>
      </c>
      <c r="J46" s="165">
        <v>4</v>
      </c>
      <c r="K46" s="165">
        <v>5</v>
      </c>
      <c r="L46" s="165">
        <v>6</v>
      </c>
      <c r="M46" s="165">
        <v>1</v>
      </c>
      <c r="N46" s="165">
        <v>4</v>
      </c>
    </row>
    <row r="47" spans="1:14" ht="24" customHeight="1">
      <c r="A47" s="162">
        <v>4131</v>
      </c>
      <c r="B47" s="162" t="s">
        <v>209</v>
      </c>
      <c r="C47" s="165" t="s">
        <v>174</v>
      </c>
      <c r="D47" s="165" t="s">
        <v>177</v>
      </c>
      <c r="E47" s="165" t="s">
        <v>178</v>
      </c>
      <c r="F47" s="165">
        <v>3152008777</v>
      </c>
      <c r="G47" s="165">
        <v>8</v>
      </c>
      <c r="H47" s="169">
        <v>45292</v>
      </c>
      <c r="I47" s="165">
        <v>0</v>
      </c>
      <c r="J47" s="165">
        <v>3</v>
      </c>
      <c r="K47" s="165">
        <v>4</v>
      </c>
      <c r="L47" s="165">
        <v>6</v>
      </c>
      <c r="M47" s="165">
        <v>0</v>
      </c>
      <c r="N47" s="165">
        <v>3</v>
      </c>
    </row>
    <row r="48" spans="1:14" ht="24" customHeight="1">
      <c r="A48" s="163">
        <v>4131</v>
      </c>
      <c r="B48" s="163" t="s">
        <v>209</v>
      </c>
      <c r="C48" s="165" t="s">
        <v>179</v>
      </c>
      <c r="D48" s="165" t="s">
        <v>180</v>
      </c>
      <c r="E48" s="165" t="s">
        <v>181</v>
      </c>
      <c r="F48" s="165">
        <v>3016749709</v>
      </c>
      <c r="G48" s="165">
        <v>20</v>
      </c>
      <c r="H48" s="169">
        <v>41640</v>
      </c>
      <c r="I48" s="165">
        <v>4</v>
      </c>
      <c r="J48" s="165">
        <v>0</v>
      </c>
      <c r="K48" s="165">
        <v>1</v>
      </c>
      <c r="L48" s="165">
        <v>8</v>
      </c>
      <c r="M48" s="165">
        <v>1</v>
      </c>
      <c r="N48" s="165">
        <v>5</v>
      </c>
    </row>
    <row r="49" spans="1:14" ht="24" customHeight="1">
      <c r="A49" s="162">
        <v>4131</v>
      </c>
      <c r="B49" s="162" t="s">
        <v>209</v>
      </c>
      <c r="C49" s="165" t="s">
        <v>179</v>
      </c>
      <c r="D49" s="165" t="s">
        <v>182</v>
      </c>
      <c r="E49" s="165" t="s">
        <v>183</v>
      </c>
      <c r="F49" s="165">
        <v>3128690112</v>
      </c>
      <c r="G49" s="165">
        <v>5</v>
      </c>
      <c r="H49" s="169">
        <v>43891</v>
      </c>
      <c r="I49" s="165">
        <v>4</v>
      </c>
      <c r="J49" s="165">
        <v>0</v>
      </c>
      <c r="K49" s="165">
        <v>1</v>
      </c>
      <c r="L49" s="165">
        <v>6</v>
      </c>
      <c r="M49" s="165">
        <v>1</v>
      </c>
      <c r="N49" s="165">
        <v>5</v>
      </c>
    </row>
    <row r="50" spans="1:14" ht="24" customHeight="1">
      <c r="A50" s="163">
        <v>4131</v>
      </c>
      <c r="B50" s="163" t="s">
        <v>209</v>
      </c>
      <c r="C50" s="165" t="s">
        <v>184</v>
      </c>
      <c r="D50" s="165" t="s">
        <v>185</v>
      </c>
      <c r="E50" s="165" t="s">
        <v>186</v>
      </c>
      <c r="F50" s="165">
        <v>3148896593</v>
      </c>
      <c r="G50" s="165">
        <v>15</v>
      </c>
      <c r="H50" s="169">
        <v>45717</v>
      </c>
      <c r="I50" s="165">
        <v>4</v>
      </c>
      <c r="J50" s="165">
        <v>0</v>
      </c>
      <c r="K50" s="165">
        <v>1</v>
      </c>
      <c r="L50" s="165">
        <v>8</v>
      </c>
      <c r="M50" s="165">
        <v>1</v>
      </c>
      <c r="N50" s="165">
        <v>3</v>
      </c>
    </row>
    <row r="51" spans="1:14" ht="24" customHeight="1">
      <c r="A51" s="162">
        <v>4131</v>
      </c>
      <c r="B51" s="162" t="s">
        <v>209</v>
      </c>
      <c r="C51" s="165" t="s">
        <v>184</v>
      </c>
      <c r="D51" s="165" t="s">
        <v>187</v>
      </c>
      <c r="E51" s="165" t="s">
        <v>188</v>
      </c>
      <c r="F51" s="165">
        <v>3168206952</v>
      </c>
      <c r="G51" s="165">
        <v>19</v>
      </c>
      <c r="H51" s="169">
        <v>40238</v>
      </c>
      <c r="I51" s="165">
        <v>0</v>
      </c>
      <c r="J51" s="165">
        <v>4</v>
      </c>
      <c r="K51" s="165">
        <v>5</v>
      </c>
      <c r="L51" s="165">
        <v>8</v>
      </c>
      <c r="M51" s="165">
        <v>1</v>
      </c>
      <c r="N51" s="165">
        <v>4</v>
      </c>
    </row>
    <row r="52" spans="1:14" ht="24" customHeight="1">
      <c r="A52" s="163">
        <v>4131</v>
      </c>
      <c r="B52" s="163" t="s">
        <v>209</v>
      </c>
      <c r="C52" s="165" t="s">
        <v>184</v>
      </c>
      <c r="D52" s="165" t="s">
        <v>189</v>
      </c>
      <c r="E52" s="165" t="s">
        <v>190</v>
      </c>
      <c r="F52" s="165">
        <v>3148918726</v>
      </c>
      <c r="G52" s="165">
        <v>13</v>
      </c>
      <c r="H52" s="169">
        <v>45717</v>
      </c>
      <c r="I52" s="165">
        <v>0</v>
      </c>
      <c r="J52" s="165">
        <v>3</v>
      </c>
      <c r="K52" s="165">
        <v>4</v>
      </c>
      <c r="L52" s="165">
        <v>3</v>
      </c>
      <c r="M52" s="165">
        <v>1</v>
      </c>
      <c r="N52" s="165">
        <v>3</v>
      </c>
    </row>
    <row r="53" spans="1:14" ht="24" customHeight="1">
      <c r="A53" s="162">
        <v>4131</v>
      </c>
      <c r="B53" s="162" t="s">
        <v>209</v>
      </c>
      <c r="C53" s="165" t="s">
        <v>184</v>
      </c>
      <c r="D53" s="165" t="s">
        <v>191</v>
      </c>
      <c r="E53" s="165" t="s">
        <v>192</v>
      </c>
      <c r="F53" s="165">
        <v>3172637037</v>
      </c>
      <c r="G53" s="165">
        <v>21</v>
      </c>
      <c r="H53" s="169">
        <v>42064</v>
      </c>
      <c r="I53" s="165">
        <v>0</v>
      </c>
      <c r="J53" s="165">
        <v>4</v>
      </c>
      <c r="K53" s="165">
        <v>5</v>
      </c>
      <c r="L53" s="165">
        <v>8</v>
      </c>
      <c r="M53" s="165">
        <v>1</v>
      </c>
      <c r="N53" s="165">
        <v>3</v>
      </c>
    </row>
    <row r="54" spans="1:14" ht="24" customHeight="1">
      <c r="A54" s="163">
        <v>4131</v>
      </c>
      <c r="B54" s="163" t="s">
        <v>209</v>
      </c>
      <c r="C54" s="165" t="s">
        <v>193</v>
      </c>
      <c r="D54" s="165" t="s">
        <v>194</v>
      </c>
      <c r="E54" s="165" t="s">
        <v>195</v>
      </c>
      <c r="F54" s="165">
        <v>3218347187</v>
      </c>
      <c r="G54" s="165">
        <v>12</v>
      </c>
      <c r="H54" s="169">
        <v>45444</v>
      </c>
      <c r="I54" s="165">
        <v>0</v>
      </c>
      <c r="J54" s="165">
        <v>3</v>
      </c>
      <c r="K54" s="165">
        <v>4</v>
      </c>
      <c r="L54" s="165">
        <v>8</v>
      </c>
      <c r="M54" s="165">
        <v>1</v>
      </c>
      <c r="N54" s="165">
        <v>3</v>
      </c>
    </row>
    <row r="55" spans="1:14" ht="24" customHeight="1">
      <c r="A55" s="162">
        <v>4131</v>
      </c>
      <c r="B55" s="162" t="s">
        <v>209</v>
      </c>
      <c r="C55" s="165" t="s">
        <v>193</v>
      </c>
      <c r="D55" s="165" t="s">
        <v>196</v>
      </c>
      <c r="E55" s="165" t="s">
        <v>197</v>
      </c>
      <c r="F55" s="165" t="s">
        <v>198</v>
      </c>
      <c r="G55" s="165">
        <v>3</v>
      </c>
      <c r="H55" s="169">
        <v>44774</v>
      </c>
      <c r="I55" s="165">
        <v>0</v>
      </c>
      <c r="J55" s="165">
        <v>4</v>
      </c>
      <c r="K55" s="165">
        <v>5</v>
      </c>
      <c r="L55" s="165">
        <v>3</v>
      </c>
      <c r="M55" s="165">
        <v>0</v>
      </c>
      <c r="N55" s="165">
        <v>5</v>
      </c>
    </row>
    <row r="56" spans="1:14" ht="24" customHeight="1">
      <c r="A56" s="163">
        <v>4131</v>
      </c>
      <c r="B56" s="163" t="s">
        <v>209</v>
      </c>
      <c r="C56" s="165" t="s">
        <v>193</v>
      </c>
      <c r="D56" s="165" t="s">
        <v>199</v>
      </c>
      <c r="E56" s="165" t="s">
        <v>200</v>
      </c>
      <c r="F56" s="165" t="s">
        <v>201</v>
      </c>
      <c r="G56" s="165">
        <v>15</v>
      </c>
      <c r="H56" s="169">
        <v>44197</v>
      </c>
      <c r="I56" s="165">
        <v>0</v>
      </c>
      <c r="J56" s="165">
        <v>4</v>
      </c>
      <c r="K56" s="165">
        <v>5</v>
      </c>
      <c r="L56" s="165">
        <v>5</v>
      </c>
      <c r="M56" s="165">
        <v>1</v>
      </c>
      <c r="N56" s="165">
        <v>4</v>
      </c>
    </row>
    <row r="57" spans="1:14" ht="24" customHeight="1">
      <c r="A57" s="162">
        <v>4131</v>
      </c>
      <c r="B57" s="162" t="s">
        <v>209</v>
      </c>
      <c r="C57" s="165" t="s">
        <v>202</v>
      </c>
      <c r="D57" s="165" t="s">
        <v>203</v>
      </c>
      <c r="E57" s="165" t="s">
        <v>204</v>
      </c>
      <c r="F57" s="165">
        <v>3188517504</v>
      </c>
      <c r="G57" s="165">
        <v>3</v>
      </c>
      <c r="H57" s="169">
        <v>45078</v>
      </c>
      <c r="I57" s="165">
        <v>0</v>
      </c>
      <c r="J57" s="165">
        <v>3</v>
      </c>
      <c r="K57" s="165">
        <v>4</v>
      </c>
      <c r="L57" s="165">
        <v>0</v>
      </c>
      <c r="M57" s="165">
        <v>0</v>
      </c>
      <c r="N57" s="165">
        <v>4</v>
      </c>
    </row>
    <row r="58" spans="1:14" ht="24" customHeight="1">
      <c r="A58" s="163">
        <v>4131</v>
      </c>
      <c r="B58" s="163" t="s">
        <v>209</v>
      </c>
      <c r="C58" s="165" t="s">
        <v>202</v>
      </c>
      <c r="D58" s="165" t="s">
        <v>205</v>
      </c>
      <c r="E58" s="165" t="s">
        <v>206</v>
      </c>
      <c r="F58" s="165">
        <v>3122814328</v>
      </c>
      <c r="G58" s="165">
        <v>15</v>
      </c>
      <c r="H58" s="169">
        <v>40210</v>
      </c>
      <c r="I58" s="165">
        <v>0</v>
      </c>
      <c r="J58" s="165">
        <v>3</v>
      </c>
      <c r="K58" s="165">
        <v>4</v>
      </c>
      <c r="L58" s="165">
        <v>8</v>
      </c>
      <c r="M58" s="165">
        <v>0</v>
      </c>
      <c r="N58" s="165">
        <v>3</v>
      </c>
    </row>
    <row r="59" spans="1:14" ht="24" customHeight="1">
      <c r="A59" s="162">
        <v>4131</v>
      </c>
      <c r="B59" s="162" t="s">
        <v>209</v>
      </c>
      <c r="C59" s="165" t="s">
        <v>76</v>
      </c>
      <c r="D59" s="165" t="s">
        <v>207</v>
      </c>
      <c r="E59" s="165" t="s">
        <v>208</v>
      </c>
      <c r="F59" s="165">
        <v>3165116959</v>
      </c>
      <c r="G59" s="165">
        <v>11</v>
      </c>
      <c r="H59" s="169">
        <v>41791</v>
      </c>
      <c r="I59" s="165">
        <v>0</v>
      </c>
      <c r="J59" s="165">
        <v>3</v>
      </c>
      <c r="K59" s="165">
        <v>4</v>
      </c>
      <c r="L59" s="165">
        <v>2</v>
      </c>
      <c r="M59" s="165">
        <v>0</v>
      </c>
      <c r="N59" s="165">
        <v>4</v>
      </c>
    </row>
    <row r="60" spans="1:14" ht="24" customHeight="1">
      <c r="A60" s="163">
        <v>4132</v>
      </c>
      <c r="B60" s="163" t="s">
        <v>363</v>
      </c>
      <c r="C60" s="165" t="s">
        <v>210</v>
      </c>
      <c r="D60" s="165" t="s">
        <v>211</v>
      </c>
      <c r="E60" s="165" t="s">
        <v>212</v>
      </c>
      <c r="F60" s="165">
        <v>3178559455</v>
      </c>
      <c r="G60" s="165">
        <v>12</v>
      </c>
      <c r="H60" s="169">
        <v>44927</v>
      </c>
      <c r="I60" s="165">
        <v>0</v>
      </c>
      <c r="J60" s="165">
        <v>4</v>
      </c>
      <c r="K60" s="165">
        <v>5</v>
      </c>
      <c r="L60" s="165">
        <v>8</v>
      </c>
      <c r="M60" s="165">
        <v>1</v>
      </c>
      <c r="N60" s="165">
        <v>5</v>
      </c>
    </row>
    <row r="61" spans="1:14" ht="24" customHeight="1">
      <c r="A61" s="162">
        <v>4132</v>
      </c>
      <c r="B61" s="162" t="s">
        <v>363</v>
      </c>
      <c r="C61" s="165" t="s">
        <v>210</v>
      </c>
      <c r="D61" s="165" t="s">
        <v>213</v>
      </c>
      <c r="E61" s="165" t="s">
        <v>214</v>
      </c>
      <c r="F61" s="165">
        <v>3176794944</v>
      </c>
      <c r="G61" s="165">
        <v>15</v>
      </c>
      <c r="H61" s="169">
        <v>44197</v>
      </c>
      <c r="I61" s="165">
        <v>0</v>
      </c>
      <c r="J61" s="165">
        <v>3</v>
      </c>
      <c r="K61" s="165">
        <v>4</v>
      </c>
      <c r="L61" s="165">
        <v>8</v>
      </c>
      <c r="M61" s="165">
        <v>1</v>
      </c>
      <c r="N61" s="165">
        <v>4</v>
      </c>
    </row>
    <row r="62" spans="1:14" ht="24" customHeight="1">
      <c r="A62" s="163">
        <v>4132</v>
      </c>
      <c r="B62" s="163" t="s">
        <v>363</v>
      </c>
      <c r="C62" s="165" t="s">
        <v>215</v>
      </c>
      <c r="D62" s="165" t="s">
        <v>216</v>
      </c>
      <c r="E62" s="165" t="s">
        <v>217</v>
      </c>
      <c r="F62" s="165">
        <v>3012025022</v>
      </c>
      <c r="G62" s="165">
        <v>35</v>
      </c>
      <c r="H62" s="169">
        <v>41518</v>
      </c>
      <c r="I62" s="165">
        <v>2</v>
      </c>
      <c r="J62" s="165">
        <v>0</v>
      </c>
      <c r="K62" s="165">
        <v>1</v>
      </c>
      <c r="L62" s="165">
        <v>4</v>
      </c>
      <c r="M62" s="165">
        <v>0</v>
      </c>
      <c r="N62" s="165">
        <v>2</v>
      </c>
    </row>
    <row r="63" spans="1:14" ht="24" customHeight="1">
      <c r="A63" s="162">
        <v>4132</v>
      </c>
      <c r="B63" s="162" t="s">
        <v>363</v>
      </c>
      <c r="C63" s="165" t="s">
        <v>215</v>
      </c>
      <c r="D63" s="165" t="s">
        <v>218</v>
      </c>
      <c r="E63" s="165" t="s">
        <v>219</v>
      </c>
      <c r="F63" s="165">
        <v>3206996630</v>
      </c>
      <c r="G63" s="165">
        <v>23</v>
      </c>
      <c r="H63" s="169">
        <v>44256</v>
      </c>
      <c r="I63" s="165">
        <v>0</v>
      </c>
      <c r="J63" s="165">
        <v>4</v>
      </c>
      <c r="K63" s="165">
        <v>5</v>
      </c>
      <c r="L63" s="165">
        <v>6</v>
      </c>
      <c r="M63" s="165">
        <v>1</v>
      </c>
      <c r="N63" s="165">
        <v>4</v>
      </c>
    </row>
    <row r="64" spans="1:14" ht="24" customHeight="1">
      <c r="A64" s="163">
        <v>4132</v>
      </c>
      <c r="B64" s="163" t="s">
        <v>363</v>
      </c>
      <c r="C64" s="165" t="s">
        <v>215</v>
      </c>
      <c r="D64" s="165" t="s">
        <v>220</v>
      </c>
      <c r="E64" s="165" t="s">
        <v>221</v>
      </c>
      <c r="F64" s="165">
        <v>3173832435</v>
      </c>
      <c r="G64" s="165">
        <v>8</v>
      </c>
      <c r="H64" s="169">
        <v>45200</v>
      </c>
      <c r="I64" s="165">
        <v>0</v>
      </c>
      <c r="J64" s="165">
        <v>4</v>
      </c>
      <c r="K64" s="165">
        <v>5</v>
      </c>
      <c r="L64" s="165">
        <v>3</v>
      </c>
      <c r="M64" s="165">
        <v>1</v>
      </c>
      <c r="N64" s="165">
        <v>4</v>
      </c>
    </row>
    <row r="65" spans="1:14" ht="24" customHeight="1">
      <c r="A65" s="162">
        <v>4132</v>
      </c>
      <c r="B65" s="162" t="s">
        <v>363</v>
      </c>
      <c r="C65" s="165" t="s">
        <v>215</v>
      </c>
      <c r="D65" s="165" t="s">
        <v>222</v>
      </c>
      <c r="E65" s="165" t="s">
        <v>223</v>
      </c>
      <c r="F65" s="165">
        <v>3183073235</v>
      </c>
      <c r="G65" s="165" t="s">
        <v>224</v>
      </c>
      <c r="H65" s="169">
        <v>45413</v>
      </c>
      <c r="I65" s="165">
        <v>0</v>
      </c>
      <c r="J65" s="165">
        <v>3</v>
      </c>
      <c r="K65" s="165">
        <v>4</v>
      </c>
      <c r="L65" s="165">
        <v>3</v>
      </c>
      <c r="M65" s="165">
        <v>1</v>
      </c>
      <c r="N65" s="165">
        <v>3</v>
      </c>
    </row>
    <row r="66" spans="1:14" ht="24" customHeight="1">
      <c r="A66" s="163">
        <v>4132</v>
      </c>
      <c r="B66" s="163" t="s">
        <v>363</v>
      </c>
      <c r="C66" s="165" t="s">
        <v>215</v>
      </c>
      <c r="D66" s="165" t="s">
        <v>225</v>
      </c>
      <c r="E66" s="165" t="s">
        <v>226</v>
      </c>
      <c r="F66" s="165">
        <v>3136836559</v>
      </c>
      <c r="G66" s="165">
        <v>21</v>
      </c>
      <c r="H66" s="169">
        <v>45323</v>
      </c>
      <c r="I66" s="165">
        <v>0</v>
      </c>
      <c r="J66" s="165">
        <v>2</v>
      </c>
      <c r="K66" s="165">
        <v>3</v>
      </c>
      <c r="L66" s="165">
        <v>2</v>
      </c>
      <c r="M66" s="165">
        <v>0</v>
      </c>
      <c r="N66" s="165">
        <v>2</v>
      </c>
    </row>
    <row r="67" spans="1:14" ht="24" customHeight="1">
      <c r="A67" s="162">
        <v>4132</v>
      </c>
      <c r="B67" s="162" t="s">
        <v>363</v>
      </c>
      <c r="C67" s="165" t="s">
        <v>215</v>
      </c>
      <c r="D67" s="165" t="s">
        <v>227</v>
      </c>
      <c r="E67" s="165" t="s">
        <v>228</v>
      </c>
      <c r="F67" s="165">
        <v>3002916769</v>
      </c>
      <c r="G67" s="165">
        <v>11</v>
      </c>
      <c r="H67" s="169">
        <v>45323</v>
      </c>
      <c r="I67" s="165">
        <v>0</v>
      </c>
      <c r="J67" s="165">
        <v>2</v>
      </c>
      <c r="K67" s="165">
        <v>3</v>
      </c>
      <c r="L67" s="165">
        <v>2</v>
      </c>
      <c r="M67" s="165">
        <v>0</v>
      </c>
      <c r="N67" s="165">
        <v>2</v>
      </c>
    </row>
    <row r="68" spans="1:14" ht="24" customHeight="1">
      <c r="A68" s="163">
        <v>4132</v>
      </c>
      <c r="B68" s="163" t="s">
        <v>363</v>
      </c>
      <c r="C68" s="165" t="s">
        <v>215</v>
      </c>
      <c r="D68" s="165" t="s">
        <v>229</v>
      </c>
      <c r="E68" s="165" t="s">
        <v>230</v>
      </c>
      <c r="F68" s="165">
        <v>3152404416</v>
      </c>
      <c r="G68" s="165" t="s">
        <v>231</v>
      </c>
      <c r="H68" s="169">
        <v>45413</v>
      </c>
      <c r="I68" s="165">
        <v>0</v>
      </c>
      <c r="J68" s="165">
        <v>2</v>
      </c>
      <c r="K68" s="165">
        <v>3</v>
      </c>
      <c r="L68" s="165">
        <v>1</v>
      </c>
      <c r="M68" s="165">
        <v>1</v>
      </c>
      <c r="N68" s="165">
        <v>2</v>
      </c>
    </row>
    <row r="69" spans="1:14" ht="24" customHeight="1">
      <c r="A69" s="162">
        <v>4132</v>
      </c>
      <c r="B69" s="162" t="s">
        <v>363</v>
      </c>
      <c r="C69" s="165" t="s">
        <v>215</v>
      </c>
      <c r="D69" s="165" t="s">
        <v>232</v>
      </c>
      <c r="E69" s="165" t="s">
        <v>233</v>
      </c>
      <c r="F69" s="165">
        <v>3043579916</v>
      </c>
      <c r="G69" s="165" t="s">
        <v>234</v>
      </c>
      <c r="H69" s="169">
        <v>45413</v>
      </c>
      <c r="I69" s="165">
        <v>0</v>
      </c>
      <c r="J69" s="165">
        <v>3</v>
      </c>
      <c r="K69" s="165">
        <v>4</v>
      </c>
      <c r="L69" s="165">
        <v>2</v>
      </c>
      <c r="M69" s="165">
        <v>1</v>
      </c>
      <c r="N69" s="165">
        <v>3</v>
      </c>
    </row>
    <row r="70" spans="1:14" ht="24" customHeight="1">
      <c r="A70" s="163">
        <v>4132</v>
      </c>
      <c r="B70" s="163" t="s">
        <v>363</v>
      </c>
      <c r="C70" s="165" t="s">
        <v>215</v>
      </c>
      <c r="D70" s="165" t="s">
        <v>235</v>
      </c>
      <c r="E70" s="165" t="s">
        <v>236</v>
      </c>
      <c r="F70" s="165">
        <v>3156400586</v>
      </c>
      <c r="G70" s="165">
        <v>1</v>
      </c>
      <c r="H70" s="169">
        <v>45778</v>
      </c>
      <c r="I70" s="165">
        <v>0</v>
      </c>
      <c r="J70" s="165">
        <v>3</v>
      </c>
      <c r="K70" s="165">
        <v>4</v>
      </c>
      <c r="L70" s="165">
        <v>2</v>
      </c>
      <c r="M70" s="165">
        <v>0</v>
      </c>
      <c r="N70" s="165">
        <v>3</v>
      </c>
    </row>
    <row r="71" spans="1:14" ht="24" customHeight="1">
      <c r="A71" s="162">
        <v>4132</v>
      </c>
      <c r="B71" s="162" t="s">
        <v>363</v>
      </c>
      <c r="C71" s="165" t="s">
        <v>72</v>
      </c>
      <c r="D71" s="165" t="s">
        <v>237</v>
      </c>
      <c r="E71" s="165" t="s">
        <v>238</v>
      </c>
      <c r="F71" s="165">
        <v>3146702636</v>
      </c>
      <c r="G71" s="165">
        <v>6</v>
      </c>
      <c r="H71" s="169">
        <v>45292</v>
      </c>
      <c r="I71" s="165">
        <v>0</v>
      </c>
      <c r="J71" s="165">
        <v>4</v>
      </c>
      <c r="K71" s="165">
        <v>5</v>
      </c>
      <c r="L71" s="165">
        <v>5</v>
      </c>
      <c r="M71" s="165">
        <v>0</v>
      </c>
      <c r="N71" s="165">
        <v>4</v>
      </c>
    </row>
    <row r="72" spans="1:14" ht="24" customHeight="1">
      <c r="A72" s="163">
        <v>4132</v>
      </c>
      <c r="B72" s="163" t="s">
        <v>363</v>
      </c>
      <c r="C72" s="165" t="s">
        <v>72</v>
      </c>
      <c r="D72" s="165" t="s">
        <v>239</v>
      </c>
      <c r="E72" s="165" t="s">
        <v>240</v>
      </c>
      <c r="F72" s="165">
        <v>3113723111</v>
      </c>
      <c r="G72" s="165">
        <v>17</v>
      </c>
      <c r="H72" s="169">
        <v>45658</v>
      </c>
      <c r="I72" s="165">
        <v>0</v>
      </c>
      <c r="J72" s="165">
        <v>4</v>
      </c>
      <c r="K72" s="165">
        <v>5</v>
      </c>
      <c r="L72" s="165">
        <v>5</v>
      </c>
      <c r="M72" s="165">
        <v>0</v>
      </c>
      <c r="N72" s="165">
        <v>4</v>
      </c>
    </row>
    <row r="73" spans="1:14" ht="24" customHeight="1">
      <c r="A73" s="162">
        <v>4132</v>
      </c>
      <c r="B73" s="162" t="s">
        <v>363</v>
      </c>
      <c r="C73" s="165" t="s">
        <v>72</v>
      </c>
      <c r="D73" s="165" t="s">
        <v>241</v>
      </c>
      <c r="E73" s="165" t="s">
        <v>242</v>
      </c>
      <c r="F73" s="165">
        <v>3176695769</v>
      </c>
      <c r="G73" s="165">
        <v>14</v>
      </c>
      <c r="H73" s="169">
        <v>45748</v>
      </c>
      <c r="I73" s="165">
        <v>0</v>
      </c>
      <c r="J73" s="165">
        <v>4</v>
      </c>
      <c r="K73" s="165">
        <v>5</v>
      </c>
      <c r="L73" s="165">
        <v>5</v>
      </c>
      <c r="M73" s="165">
        <v>0</v>
      </c>
      <c r="N73" s="165">
        <v>5</v>
      </c>
    </row>
    <row r="74" spans="1:14" ht="24" customHeight="1">
      <c r="A74" s="163">
        <v>4132</v>
      </c>
      <c r="B74" s="163" t="s">
        <v>363</v>
      </c>
      <c r="C74" s="165" t="s">
        <v>72</v>
      </c>
      <c r="D74" s="165" t="s">
        <v>243</v>
      </c>
      <c r="E74" s="165" t="s">
        <v>244</v>
      </c>
      <c r="F74" s="165">
        <v>3107392357</v>
      </c>
      <c r="G74" s="165">
        <v>6</v>
      </c>
      <c r="H74" s="169">
        <v>44835</v>
      </c>
      <c r="I74" s="165">
        <v>0</v>
      </c>
      <c r="J74" s="165">
        <v>4</v>
      </c>
      <c r="K74" s="165">
        <v>5</v>
      </c>
      <c r="L74" s="165">
        <v>5</v>
      </c>
      <c r="M74" s="165">
        <v>0</v>
      </c>
      <c r="N74" s="165">
        <v>4</v>
      </c>
    </row>
    <row r="75" spans="1:14" ht="24" customHeight="1">
      <c r="A75" s="162">
        <v>4132</v>
      </c>
      <c r="B75" s="162" t="s">
        <v>363</v>
      </c>
      <c r="C75" s="165" t="s">
        <v>72</v>
      </c>
      <c r="D75" s="165" t="s">
        <v>245</v>
      </c>
      <c r="E75" s="165" t="s">
        <v>246</v>
      </c>
      <c r="F75" s="165">
        <v>3103782149</v>
      </c>
      <c r="G75" s="165">
        <v>12</v>
      </c>
      <c r="H75" s="169">
        <v>43891</v>
      </c>
      <c r="I75" s="165">
        <v>0</v>
      </c>
      <c r="J75" s="165">
        <v>4</v>
      </c>
      <c r="K75" s="165">
        <v>5</v>
      </c>
      <c r="L75" s="165">
        <v>5</v>
      </c>
      <c r="M75" s="165">
        <v>0</v>
      </c>
      <c r="N75" s="165">
        <v>4</v>
      </c>
    </row>
    <row r="76" spans="1:14" ht="24" customHeight="1">
      <c r="A76" s="163">
        <v>4132</v>
      </c>
      <c r="B76" s="163" t="s">
        <v>363</v>
      </c>
      <c r="C76" s="165" t="s">
        <v>72</v>
      </c>
      <c r="D76" s="165" t="s">
        <v>247</v>
      </c>
      <c r="E76" s="165" t="s">
        <v>248</v>
      </c>
      <c r="F76" s="165">
        <v>3216598300</v>
      </c>
      <c r="G76" s="165">
        <v>6</v>
      </c>
      <c r="H76" s="169">
        <v>45658</v>
      </c>
      <c r="I76" s="165">
        <v>0</v>
      </c>
      <c r="J76" s="165">
        <v>4</v>
      </c>
      <c r="K76" s="165">
        <v>5</v>
      </c>
      <c r="L76" s="165">
        <v>8</v>
      </c>
      <c r="M76" s="165">
        <v>1</v>
      </c>
      <c r="N76" s="165">
        <v>4</v>
      </c>
    </row>
    <row r="77" spans="1:14" ht="24" customHeight="1">
      <c r="A77" s="162">
        <v>4132</v>
      </c>
      <c r="B77" s="162" t="s">
        <v>363</v>
      </c>
      <c r="C77" s="165" t="s">
        <v>72</v>
      </c>
      <c r="D77" s="165" t="s">
        <v>249</v>
      </c>
      <c r="E77" s="165" t="s">
        <v>250</v>
      </c>
      <c r="F77" s="165">
        <v>3148297908</v>
      </c>
      <c r="G77" s="165">
        <v>12</v>
      </c>
      <c r="H77" s="169">
        <v>45413</v>
      </c>
      <c r="I77" s="165">
        <v>0</v>
      </c>
      <c r="J77" s="165">
        <v>4</v>
      </c>
      <c r="K77" s="165">
        <v>5</v>
      </c>
      <c r="L77" s="165">
        <v>5</v>
      </c>
      <c r="M77" s="165">
        <v>0</v>
      </c>
      <c r="N77" s="165">
        <v>4</v>
      </c>
    </row>
    <row r="78" spans="1:14" ht="24" customHeight="1">
      <c r="A78" s="163">
        <v>4132</v>
      </c>
      <c r="B78" s="163" t="s">
        <v>363</v>
      </c>
      <c r="C78" s="165" t="s">
        <v>72</v>
      </c>
      <c r="D78" s="165" t="s">
        <v>251</v>
      </c>
      <c r="E78" s="165" t="s">
        <v>252</v>
      </c>
      <c r="F78" s="165">
        <v>3148379077</v>
      </c>
      <c r="G78" s="165">
        <v>7</v>
      </c>
      <c r="H78" s="169">
        <v>45413</v>
      </c>
      <c r="I78" s="165">
        <v>0</v>
      </c>
      <c r="J78" s="165">
        <v>4</v>
      </c>
      <c r="K78" s="165">
        <v>5</v>
      </c>
      <c r="L78" s="165">
        <v>5</v>
      </c>
      <c r="M78" s="165">
        <v>0</v>
      </c>
      <c r="N78" s="165">
        <v>4</v>
      </c>
    </row>
    <row r="79" spans="1:14" ht="24" customHeight="1">
      <c r="A79" s="162">
        <v>4132</v>
      </c>
      <c r="B79" s="162" t="s">
        <v>363</v>
      </c>
      <c r="C79" s="165" t="s">
        <v>72</v>
      </c>
      <c r="D79" s="165" t="s">
        <v>253</v>
      </c>
      <c r="E79" s="165" t="s">
        <v>254</v>
      </c>
      <c r="F79" s="165">
        <v>3155604430</v>
      </c>
      <c r="G79" s="165">
        <v>19</v>
      </c>
      <c r="H79" s="169">
        <v>44378</v>
      </c>
      <c r="I79" s="165">
        <v>0</v>
      </c>
      <c r="J79" s="165">
        <v>4</v>
      </c>
      <c r="K79" s="165">
        <v>5</v>
      </c>
      <c r="L79" s="165">
        <v>8</v>
      </c>
      <c r="M79" s="165">
        <v>1</v>
      </c>
      <c r="N79" s="165">
        <v>4</v>
      </c>
    </row>
    <row r="80" spans="1:14" ht="24" customHeight="1">
      <c r="A80" s="163">
        <v>4132</v>
      </c>
      <c r="B80" s="163" t="s">
        <v>363</v>
      </c>
      <c r="C80" s="165" t="s">
        <v>72</v>
      </c>
      <c r="D80" s="165" t="s">
        <v>255</v>
      </c>
      <c r="E80" s="165" t="s">
        <v>256</v>
      </c>
      <c r="F80" s="165">
        <v>3015075690</v>
      </c>
      <c r="G80" s="165">
        <v>10</v>
      </c>
      <c r="H80" s="169">
        <v>45931</v>
      </c>
      <c r="I80" s="165">
        <v>0</v>
      </c>
      <c r="J80" s="165">
        <v>4</v>
      </c>
      <c r="K80" s="165">
        <v>5</v>
      </c>
      <c r="L80" s="165">
        <v>5</v>
      </c>
      <c r="M80" s="165">
        <v>0</v>
      </c>
      <c r="N80" s="165">
        <v>4</v>
      </c>
    </row>
    <row r="81" spans="1:14" ht="24" customHeight="1">
      <c r="A81" s="162">
        <v>4132</v>
      </c>
      <c r="B81" s="162" t="s">
        <v>363</v>
      </c>
      <c r="C81" s="165" t="s">
        <v>72</v>
      </c>
      <c r="D81" s="165" t="s">
        <v>257</v>
      </c>
      <c r="E81" s="165" t="s">
        <v>258</v>
      </c>
      <c r="F81" s="165">
        <v>3147820104</v>
      </c>
      <c r="G81" s="165">
        <v>8</v>
      </c>
      <c r="H81" s="169">
        <v>45689</v>
      </c>
      <c r="I81" s="165">
        <v>0</v>
      </c>
      <c r="J81" s="165">
        <v>4</v>
      </c>
      <c r="K81" s="165">
        <v>5</v>
      </c>
      <c r="L81" s="165">
        <v>5</v>
      </c>
      <c r="M81" s="165">
        <v>0</v>
      </c>
      <c r="N81" s="165">
        <v>4</v>
      </c>
    </row>
    <row r="82" spans="1:14" ht="24" customHeight="1">
      <c r="A82" s="163">
        <v>4132</v>
      </c>
      <c r="B82" s="163" t="s">
        <v>363</v>
      </c>
      <c r="C82" s="165" t="s">
        <v>72</v>
      </c>
      <c r="D82" s="165" t="s">
        <v>259</v>
      </c>
      <c r="E82" s="165" t="s">
        <v>260</v>
      </c>
      <c r="F82" s="165">
        <v>3045224797</v>
      </c>
      <c r="G82" s="165"/>
      <c r="H82" s="169">
        <v>44166</v>
      </c>
      <c r="I82" s="165">
        <v>1</v>
      </c>
      <c r="J82" s="165">
        <v>0</v>
      </c>
      <c r="K82" s="165">
        <v>1</v>
      </c>
      <c r="L82" s="165">
        <v>5</v>
      </c>
      <c r="M82" s="165">
        <v>0</v>
      </c>
      <c r="N82" s="165">
        <v>2</v>
      </c>
    </row>
    <row r="83" spans="1:14" ht="24" customHeight="1">
      <c r="A83" s="162">
        <v>4132</v>
      </c>
      <c r="B83" s="162" t="s">
        <v>363</v>
      </c>
      <c r="C83" s="165" t="s">
        <v>72</v>
      </c>
      <c r="D83" s="165" t="s">
        <v>261</v>
      </c>
      <c r="E83" s="165" t="s">
        <v>262</v>
      </c>
      <c r="F83" s="165">
        <v>3186988678</v>
      </c>
      <c r="G83" s="165">
        <v>8</v>
      </c>
      <c r="H83" s="169">
        <v>45292</v>
      </c>
      <c r="I83" s="165">
        <v>0</v>
      </c>
      <c r="J83" s="165">
        <v>4</v>
      </c>
      <c r="K83" s="165">
        <v>5</v>
      </c>
      <c r="L83" s="165">
        <v>5</v>
      </c>
      <c r="M83" s="165">
        <v>0</v>
      </c>
      <c r="N83" s="165">
        <v>4</v>
      </c>
    </row>
    <row r="84" spans="1:14" ht="24" customHeight="1">
      <c r="A84" s="163">
        <v>4132</v>
      </c>
      <c r="B84" s="163" t="s">
        <v>363</v>
      </c>
      <c r="C84" s="165" t="s">
        <v>72</v>
      </c>
      <c r="D84" s="165" t="s">
        <v>263</v>
      </c>
      <c r="E84" s="165" t="s">
        <v>264</v>
      </c>
      <c r="F84" s="165">
        <v>3164425926</v>
      </c>
      <c r="G84" s="165">
        <v>35</v>
      </c>
      <c r="H84" s="169">
        <v>42948</v>
      </c>
      <c r="I84" s="165">
        <v>0</v>
      </c>
      <c r="J84" s="165">
        <v>4</v>
      </c>
      <c r="K84" s="165">
        <v>5</v>
      </c>
      <c r="L84" s="165">
        <v>5</v>
      </c>
      <c r="M84" s="165">
        <v>0</v>
      </c>
      <c r="N84" s="165">
        <v>0</v>
      </c>
    </row>
    <row r="85" spans="1:14" ht="24" customHeight="1">
      <c r="A85" s="162">
        <v>4132</v>
      </c>
      <c r="B85" s="162" t="s">
        <v>363</v>
      </c>
      <c r="C85" s="165" t="s">
        <v>72</v>
      </c>
      <c r="D85" s="165" t="s">
        <v>265</v>
      </c>
      <c r="E85" s="165" t="s">
        <v>266</v>
      </c>
      <c r="F85" s="165">
        <v>3207756820</v>
      </c>
      <c r="G85" s="165">
        <v>24</v>
      </c>
      <c r="H85" s="169">
        <v>45261</v>
      </c>
      <c r="I85" s="165">
        <v>4</v>
      </c>
      <c r="J85" s="165">
        <v>0</v>
      </c>
      <c r="K85" s="165">
        <v>1</v>
      </c>
      <c r="L85" s="165">
        <v>8</v>
      </c>
      <c r="M85" s="165">
        <v>0</v>
      </c>
      <c r="N85" s="165">
        <v>5</v>
      </c>
    </row>
    <row r="86" spans="1:14" ht="24" customHeight="1">
      <c r="A86" s="163">
        <v>4132</v>
      </c>
      <c r="B86" s="163" t="s">
        <v>363</v>
      </c>
      <c r="C86" s="165" t="s">
        <v>72</v>
      </c>
      <c r="D86" s="165" t="s">
        <v>267</v>
      </c>
      <c r="E86" s="165" t="s">
        <v>268</v>
      </c>
      <c r="F86" s="165">
        <v>3136388800</v>
      </c>
      <c r="G86" s="165">
        <v>15</v>
      </c>
      <c r="H86" s="169">
        <v>45689</v>
      </c>
      <c r="I86" s="165">
        <v>0</v>
      </c>
      <c r="J86" s="165">
        <v>4</v>
      </c>
      <c r="K86" s="165">
        <v>5</v>
      </c>
      <c r="L86" s="165">
        <v>5</v>
      </c>
      <c r="M86" s="165">
        <v>0</v>
      </c>
      <c r="N86" s="165">
        <v>5</v>
      </c>
    </row>
    <row r="87" spans="1:14" ht="24" customHeight="1">
      <c r="A87" s="162">
        <v>4132</v>
      </c>
      <c r="B87" s="162" t="s">
        <v>363</v>
      </c>
      <c r="C87" s="165" t="s">
        <v>269</v>
      </c>
      <c r="D87" s="165" t="s">
        <v>270</v>
      </c>
      <c r="E87" s="165" t="s">
        <v>271</v>
      </c>
      <c r="F87" s="165">
        <v>3104027683</v>
      </c>
      <c r="G87" s="165">
        <v>37</v>
      </c>
      <c r="H87" s="169">
        <v>32994</v>
      </c>
      <c r="I87" s="165">
        <v>2</v>
      </c>
      <c r="J87" s="165">
        <v>0</v>
      </c>
      <c r="K87" s="165">
        <v>1</v>
      </c>
      <c r="L87" s="165">
        <v>0</v>
      </c>
      <c r="M87" s="165">
        <v>0</v>
      </c>
      <c r="N87" s="165">
        <v>2</v>
      </c>
    </row>
    <row r="88" spans="1:14" ht="24" customHeight="1">
      <c r="A88" s="163">
        <v>4132</v>
      </c>
      <c r="B88" s="163" t="s">
        <v>363</v>
      </c>
      <c r="C88" s="165" t="s">
        <v>269</v>
      </c>
      <c r="D88" s="165" t="s">
        <v>272</v>
      </c>
      <c r="E88" s="165" t="s">
        <v>273</v>
      </c>
      <c r="F88" s="165">
        <v>3165284211</v>
      </c>
      <c r="G88" s="165">
        <v>22</v>
      </c>
      <c r="H88" s="169">
        <v>39326</v>
      </c>
      <c r="I88" s="165">
        <v>0</v>
      </c>
      <c r="J88" s="165">
        <v>4</v>
      </c>
      <c r="K88" s="165">
        <v>5</v>
      </c>
      <c r="L88" s="165">
        <v>0</v>
      </c>
      <c r="M88" s="165">
        <v>0</v>
      </c>
      <c r="N88" s="165">
        <v>4</v>
      </c>
    </row>
    <row r="89" spans="1:14" ht="24" customHeight="1">
      <c r="A89" s="162">
        <v>4132</v>
      </c>
      <c r="B89" s="162" t="s">
        <v>363</v>
      </c>
      <c r="C89" s="165" t="s">
        <v>269</v>
      </c>
      <c r="D89" s="165" t="s">
        <v>274</v>
      </c>
      <c r="E89" s="165" t="s">
        <v>275</v>
      </c>
      <c r="F89" s="165">
        <v>3006132456</v>
      </c>
      <c r="G89" s="165">
        <v>20</v>
      </c>
      <c r="H89" s="169">
        <v>39845</v>
      </c>
      <c r="I89" s="165">
        <v>0</v>
      </c>
      <c r="J89" s="165">
        <v>4</v>
      </c>
      <c r="K89" s="165">
        <v>5</v>
      </c>
      <c r="L89" s="165">
        <v>0</v>
      </c>
      <c r="M89" s="165">
        <v>0</v>
      </c>
      <c r="N89" s="165">
        <v>4</v>
      </c>
    </row>
    <row r="90" spans="1:14" ht="24" customHeight="1">
      <c r="A90" s="163">
        <v>4132</v>
      </c>
      <c r="B90" s="163" t="s">
        <v>363</v>
      </c>
      <c r="C90" s="165" t="s">
        <v>269</v>
      </c>
      <c r="D90" s="165" t="s">
        <v>276</v>
      </c>
      <c r="E90" s="165" t="s">
        <v>277</v>
      </c>
      <c r="F90" s="165">
        <v>3172861568</v>
      </c>
      <c r="G90" s="165">
        <v>16</v>
      </c>
      <c r="H90" s="169">
        <v>39845</v>
      </c>
      <c r="I90" s="165">
        <v>0</v>
      </c>
      <c r="J90" s="165">
        <v>4</v>
      </c>
      <c r="K90" s="165">
        <v>5</v>
      </c>
      <c r="L90" s="165">
        <v>0</v>
      </c>
      <c r="M90" s="165">
        <v>0</v>
      </c>
      <c r="N90" s="165">
        <v>4</v>
      </c>
    </row>
    <row r="91" spans="1:14" ht="24" customHeight="1">
      <c r="A91" s="162">
        <v>4132</v>
      </c>
      <c r="B91" s="162" t="s">
        <v>363</v>
      </c>
      <c r="C91" s="165" t="s">
        <v>269</v>
      </c>
      <c r="D91" s="165" t="s">
        <v>278</v>
      </c>
      <c r="E91" s="165" t="s">
        <v>279</v>
      </c>
      <c r="F91" s="165">
        <v>3057766524</v>
      </c>
      <c r="G91" s="165">
        <v>16</v>
      </c>
      <c r="H91" s="169">
        <v>45689</v>
      </c>
      <c r="I91" s="165">
        <v>0</v>
      </c>
      <c r="J91" s="165">
        <v>3</v>
      </c>
      <c r="K91" s="165">
        <v>4</v>
      </c>
      <c r="L91" s="165">
        <v>0</v>
      </c>
      <c r="M91" s="165">
        <v>0</v>
      </c>
      <c r="N91" s="165">
        <v>4</v>
      </c>
    </row>
    <row r="92" spans="1:14" ht="24" customHeight="1">
      <c r="A92" s="163">
        <v>4132</v>
      </c>
      <c r="B92" s="163" t="s">
        <v>363</v>
      </c>
      <c r="C92" s="165" t="s">
        <v>280</v>
      </c>
      <c r="D92" s="165" t="s">
        <v>281</v>
      </c>
      <c r="E92" s="165" t="s">
        <v>282</v>
      </c>
      <c r="F92" s="165">
        <v>3146961943</v>
      </c>
      <c r="G92" s="165">
        <v>11</v>
      </c>
      <c r="H92" s="169">
        <v>44197</v>
      </c>
      <c r="I92" s="165">
        <v>0</v>
      </c>
      <c r="J92" s="165">
        <v>3</v>
      </c>
      <c r="K92" s="165">
        <v>4</v>
      </c>
      <c r="L92" s="165">
        <v>1</v>
      </c>
      <c r="M92" s="165">
        <v>0</v>
      </c>
      <c r="N92" s="165">
        <v>5</v>
      </c>
    </row>
    <row r="93" spans="1:14" ht="24" customHeight="1">
      <c r="A93" s="162">
        <v>4132</v>
      </c>
      <c r="B93" s="162" t="s">
        <v>363</v>
      </c>
      <c r="C93" s="165" t="s">
        <v>280</v>
      </c>
      <c r="D93" s="165" t="s">
        <v>283</v>
      </c>
      <c r="E93" s="165" t="s">
        <v>284</v>
      </c>
      <c r="F93" s="165">
        <v>3113079732</v>
      </c>
      <c r="G93" s="165">
        <v>32</v>
      </c>
      <c r="H93" s="169">
        <v>43221</v>
      </c>
      <c r="I93" s="165">
        <v>4</v>
      </c>
      <c r="J93" s="165">
        <v>0</v>
      </c>
      <c r="K93" s="165">
        <v>1</v>
      </c>
      <c r="L93" s="165">
        <v>1</v>
      </c>
      <c r="M93" s="165">
        <v>0</v>
      </c>
      <c r="N93" s="165">
        <v>3</v>
      </c>
    </row>
    <row r="94" spans="1:14" ht="24" customHeight="1">
      <c r="A94" s="163">
        <v>4132</v>
      </c>
      <c r="B94" s="163" t="s">
        <v>363</v>
      </c>
      <c r="C94" s="165" t="s">
        <v>280</v>
      </c>
      <c r="D94" s="165" t="s">
        <v>285</v>
      </c>
      <c r="E94" s="165" t="s">
        <v>286</v>
      </c>
      <c r="F94" s="165">
        <v>3185474872</v>
      </c>
      <c r="G94" s="165">
        <v>5</v>
      </c>
      <c r="H94" s="169">
        <v>44531</v>
      </c>
      <c r="I94" s="165">
        <v>0</v>
      </c>
      <c r="J94" s="165">
        <v>3</v>
      </c>
      <c r="K94" s="165">
        <v>4</v>
      </c>
      <c r="L94" s="165">
        <v>1</v>
      </c>
      <c r="M94" s="165">
        <v>1</v>
      </c>
      <c r="N94" s="165">
        <v>3</v>
      </c>
    </row>
    <row r="95" spans="1:14" ht="24" customHeight="1">
      <c r="A95" s="162">
        <v>4132</v>
      </c>
      <c r="B95" s="162" t="s">
        <v>363</v>
      </c>
      <c r="C95" s="165" t="s">
        <v>280</v>
      </c>
      <c r="D95" s="165" t="s">
        <v>287</v>
      </c>
      <c r="E95" s="165" t="s">
        <v>288</v>
      </c>
      <c r="F95" s="165">
        <v>3007722953</v>
      </c>
      <c r="G95" s="165">
        <v>6</v>
      </c>
      <c r="H95" s="169">
        <v>45292</v>
      </c>
      <c r="I95" s="165">
        <v>0</v>
      </c>
      <c r="J95" s="165">
        <v>3</v>
      </c>
      <c r="K95" s="165">
        <v>4</v>
      </c>
      <c r="L95" s="165">
        <v>1</v>
      </c>
      <c r="M95" s="165">
        <v>0</v>
      </c>
      <c r="N95" s="165">
        <v>4</v>
      </c>
    </row>
    <row r="96" spans="1:14" ht="24" customHeight="1">
      <c r="A96" s="163">
        <v>4132</v>
      </c>
      <c r="B96" s="163" t="s">
        <v>363</v>
      </c>
      <c r="C96" s="165" t="s">
        <v>280</v>
      </c>
      <c r="D96" s="165" t="s">
        <v>289</v>
      </c>
      <c r="E96" s="165" t="s">
        <v>290</v>
      </c>
      <c r="F96" s="165">
        <v>3011959397</v>
      </c>
      <c r="G96" s="165">
        <v>4</v>
      </c>
      <c r="H96" s="169">
        <v>45689</v>
      </c>
      <c r="I96" s="165">
        <v>0</v>
      </c>
      <c r="J96" s="165">
        <v>3</v>
      </c>
      <c r="K96" s="165">
        <v>4</v>
      </c>
      <c r="L96" s="165">
        <v>1</v>
      </c>
      <c r="M96" s="165">
        <v>1</v>
      </c>
      <c r="N96" s="165">
        <v>5</v>
      </c>
    </row>
    <row r="97" spans="1:14" ht="24" customHeight="1">
      <c r="A97" s="162">
        <v>4132</v>
      </c>
      <c r="B97" s="162" t="s">
        <v>363</v>
      </c>
      <c r="C97" s="165" t="s">
        <v>291</v>
      </c>
      <c r="D97" s="165" t="s">
        <v>292</v>
      </c>
      <c r="E97" s="165" t="s">
        <v>293</v>
      </c>
      <c r="F97" s="165">
        <v>3128983329</v>
      </c>
      <c r="G97" s="165">
        <v>13</v>
      </c>
      <c r="H97" s="169">
        <v>43922</v>
      </c>
      <c r="I97" s="165">
        <v>0</v>
      </c>
      <c r="J97" s="165">
        <v>4</v>
      </c>
      <c r="K97" s="165">
        <v>5</v>
      </c>
      <c r="L97" s="165">
        <v>5</v>
      </c>
      <c r="M97" s="165">
        <v>1</v>
      </c>
      <c r="N97" s="165">
        <v>4</v>
      </c>
    </row>
    <row r="98" spans="1:14" ht="24" customHeight="1">
      <c r="A98" s="163">
        <v>4132</v>
      </c>
      <c r="B98" s="163" t="s">
        <v>363</v>
      </c>
      <c r="C98" s="165" t="s">
        <v>291</v>
      </c>
      <c r="D98" s="165" t="s">
        <v>294</v>
      </c>
      <c r="E98" s="165" t="s">
        <v>295</v>
      </c>
      <c r="F98" s="165">
        <v>3104290071</v>
      </c>
      <c r="G98" s="165">
        <v>11</v>
      </c>
      <c r="H98" s="169">
        <v>43983</v>
      </c>
      <c r="I98" s="165">
        <v>0</v>
      </c>
      <c r="J98" s="165">
        <v>4</v>
      </c>
      <c r="K98" s="165">
        <v>5</v>
      </c>
      <c r="L98" s="165">
        <v>5</v>
      </c>
      <c r="M98" s="165">
        <v>1</v>
      </c>
      <c r="N98" s="165">
        <v>4</v>
      </c>
    </row>
    <row r="99" spans="1:14" ht="24" customHeight="1">
      <c r="A99" s="162">
        <v>4132</v>
      </c>
      <c r="B99" s="162" t="s">
        <v>363</v>
      </c>
      <c r="C99" s="165" t="s">
        <v>291</v>
      </c>
      <c r="D99" s="165" t="s">
        <v>296</v>
      </c>
      <c r="E99" s="165" t="s">
        <v>297</v>
      </c>
      <c r="F99" s="165">
        <v>3127662393</v>
      </c>
      <c r="G99" s="165">
        <v>10</v>
      </c>
      <c r="H99" s="169">
        <v>40452</v>
      </c>
      <c r="I99" s="165">
        <v>0</v>
      </c>
      <c r="J99" s="165">
        <v>4</v>
      </c>
      <c r="K99" s="165">
        <v>5</v>
      </c>
      <c r="L99" s="165">
        <v>5</v>
      </c>
      <c r="M99" s="165">
        <v>1</v>
      </c>
      <c r="N99" s="165">
        <v>5</v>
      </c>
    </row>
    <row r="100" spans="1:14" ht="24" customHeight="1">
      <c r="A100" s="163">
        <v>4132</v>
      </c>
      <c r="B100" s="163" t="s">
        <v>363</v>
      </c>
      <c r="C100" s="165" t="s">
        <v>291</v>
      </c>
      <c r="D100" s="165" t="s">
        <v>298</v>
      </c>
      <c r="E100" s="165" t="s">
        <v>299</v>
      </c>
      <c r="F100" s="165">
        <v>3146845567</v>
      </c>
      <c r="G100" s="165">
        <v>5</v>
      </c>
      <c r="H100" s="169">
        <v>44044</v>
      </c>
      <c r="I100" s="165">
        <v>0</v>
      </c>
      <c r="J100" s="165">
        <v>4</v>
      </c>
      <c r="K100" s="165">
        <v>5</v>
      </c>
      <c r="L100" s="165">
        <v>5</v>
      </c>
      <c r="M100" s="165">
        <v>1</v>
      </c>
      <c r="N100" s="165">
        <v>4</v>
      </c>
    </row>
    <row r="101" spans="1:14" ht="24" customHeight="1">
      <c r="A101" s="162">
        <v>4132</v>
      </c>
      <c r="B101" s="162" t="s">
        <v>363</v>
      </c>
      <c r="C101" s="165" t="s">
        <v>300</v>
      </c>
      <c r="D101" s="165" t="s">
        <v>301</v>
      </c>
      <c r="E101" s="165" t="s">
        <v>302</v>
      </c>
      <c r="F101" s="165">
        <v>3155724367</v>
      </c>
      <c r="G101" s="165">
        <v>12</v>
      </c>
      <c r="H101" s="169">
        <v>45323</v>
      </c>
      <c r="I101" s="165">
        <v>0</v>
      </c>
      <c r="J101" s="165">
        <v>4</v>
      </c>
      <c r="K101" s="165">
        <v>5</v>
      </c>
      <c r="L101" s="165">
        <v>8</v>
      </c>
      <c r="M101" s="165">
        <v>1</v>
      </c>
      <c r="N101" s="165">
        <v>4</v>
      </c>
    </row>
    <row r="102" spans="1:14" ht="24" customHeight="1">
      <c r="A102" s="163">
        <v>4132</v>
      </c>
      <c r="B102" s="163" t="s">
        <v>363</v>
      </c>
      <c r="C102" s="165" t="s">
        <v>300</v>
      </c>
      <c r="D102" s="165" t="s">
        <v>303</v>
      </c>
      <c r="E102" s="165" t="s">
        <v>304</v>
      </c>
      <c r="F102" s="165">
        <v>3147937869</v>
      </c>
      <c r="G102" s="165">
        <v>9</v>
      </c>
      <c r="H102" s="169">
        <v>45323</v>
      </c>
      <c r="I102" s="165">
        <v>0</v>
      </c>
      <c r="J102" s="165">
        <v>3</v>
      </c>
      <c r="K102" s="165">
        <v>4</v>
      </c>
      <c r="L102" s="165">
        <v>4</v>
      </c>
      <c r="M102" s="165">
        <v>1</v>
      </c>
      <c r="N102" s="165">
        <v>4</v>
      </c>
    </row>
    <row r="103" spans="1:14" ht="24" customHeight="1">
      <c r="A103" s="162">
        <v>4132</v>
      </c>
      <c r="B103" s="162" t="s">
        <v>363</v>
      </c>
      <c r="C103" s="165" t="s">
        <v>300</v>
      </c>
      <c r="D103" s="165" t="s">
        <v>305</v>
      </c>
      <c r="E103" s="165" t="s">
        <v>306</v>
      </c>
      <c r="F103" s="165">
        <v>3175850352</v>
      </c>
      <c r="G103" s="165">
        <v>4</v>
      </c>
      <c r="H103" s="169">
        <v>45689</v>
      </c>
      <c r="I103" s="165">
        <v>0</v>
      </c>
      <c r="J103" s="165">
        <v>3</v>
      </c>
      <c r="K103" s="165">
        <v>4</v>
      </c>
      <c r="L103" s="165">
        <v>4</v>
      </c>
      <c r="M103" s="165">
        <v>1</v>
      </c>
      <c r="N103" s="165">
        <v>3</v>
      </c>
    </row>
    <row r="104" spans="1:14" ht="24" customHeight="1">
      <c r="A104" s="163">
        <v>4132</v>
      </c>
      <c r="B104" s="163" t="s">
        <v>363</v>
      </c>
      <c r="C104" s="165" t="s">
        <v>300</v>
      </c>
      <c r="D104" s="165" t="s">
        <v>307</v>
      </c>
      <c r="E104" s="165" t="s">
        <v>308</v>
      </c>
      <c r="F104" s="165">
        <v>3178878776</v>
      </c>
      <c r="G104" s="165">
        <v>13</v>
      </c>
      <c r="H104" s="169">
        <v>45413</v>
      </c>
      <c r="I104" s="165">
        <v>0</v>
      </c>
      <c r="J104" s="165">
        <v>3</v>
      </c>
      <c r="K104" s="165">
        <v>4</v>
      </c>
      <c r="L104" s="165">
        <v>4</v>
      </c>
      <c r="M104" s="165">
        <v>1</v>
      </c>
      <c r="N104" s="165">
        <v>5</v>
      </c>
    </row>
    <row r="105" spans="1:14" ht="24" customHeight="1">
      <c r="A105" s="162">
        <v>4132</v>
      </c>
      <c r="B105" s="162" t="s">
        <v>363</v>
      </c>
      <c r="C105" s="165" t="s">
        <v>300</v>
      </c>
      <c r="D105" s="165" t="s">
        <v>309</v>
      </c>
      <c r="E105" s="165" t="s">
        <v>310</v>
      </c>
      <c r="F105" s="165">
        <v>3014198821</v>
      </c>
      <c r="G105" s="165">
        <v>2</v>
      </c>
      <c r="H105" s="169">
        <v>45689</v>
      </c>
      <c r="I105" s="165">
        <v>0</v>
      </c>
      <c r="J105" s="165">
        <v>3</v>
      </c>
      <c r="K105" s="165">
        <v>4</v>
      </c>
      <c r="L105" s="165">
        <v>4</v>
      </c>
      <c r="M105" s="165">
        <v>0</v>
      </c>
      <c r="N105" s="165">
        <v>3</v>
      </c>
    </row>
    <row r="106" spans="1:14" ht="24" customHeight="1">
      <c r="A106" s="163">
        <v>4132</v>
      </c>
      <c r="B106" s="163" t="s">
        <v>363</v>
      </c>
      <c r="C106" s="165" t="s">
        <v>300</v>
      </c>
      <c r="D106" s="165" t="s">
        <v>311</v>
      </c>
      <c r="E106" s="165" t="s">
        <v>312</v>
      </c>
      <c r="F106" s="165">
        <v>3214843999</v>
      </c>
      <c r="G106" s="165">
        <v>11</v>
      </c>
      <c r="H106" s="169">
        <v>45323</v>
      </c>
      <c r="I106" s="165">
        <v>0</v>
      </c>
      <c r="J106" s="165">
        <v>4</v>
      </c>
      <c r="K106" s="165">
        <v>5</v>
      </c>
      <c r="L106" s="165">
        <v>4</v>
      </c>
      <c r="M106" s="165">
        <v>1</v>
      </c>
      <c r="N106" s="165">
        <v>4</v>
      </c>
    </row>
    <row r="107" spans="1:14" ht="24" customHeight="1">
      <c r="A107" s="162">
        <v>4132</v>
      </c>
      <c r="B107" s="162" t="s">
        <v>363</v>
      </c>
      <c r="C107" s="165" t="s">
        <v>300</v>
      </c>
      <c r="D107" s="165" t="s">
        <v>313</v>
      </c>
      <c r="E107" s="165" t="s">
        <v>314</v>
      </c>
      <c r="F107" s="165">
        <v>3157625896</v>
      </c>
      <c r="G107" s="165">
        <v>9</v>
      </c>
      <c r="H107" s="169">
        <v>45323</v>
      </c>
      <c r="I107" s="165">
        <v>0</v>
      </c>
      <c r="J107" s="165">
        <v>4</v>
      </c>
      <c r="K107" s="165">
        <v>5</v>
      </c>
      <c r="L107" s="165">
        <v>3</v>
      </c>
      <c r="M107" s="165">
        <v>1</v>
      </c>
      <c r="N107" s="165">
        <v>5</v>
      </c>
    </row>
    <row r="108" spans="1:14" ht="24" customHeight="1">
      <c r="A108" s="163">
        <v>4132</v>
      </c>
      <c r="B108" s="163" t="s">
        <v>363</v>
      </c>
      <c r="C108" s="165" t="s">
        <v>300</v>
      </c>
      <c r="D108" s="165" t="s">
        <v>315</v>
      </c>
      <c r="E108" s="165" t="s">
        <v>316</v>
      </c>
      <c r="F108" s="165">
        <v>3167413422</v>
      </c>
      <c r="G108" s="165">
        <v>12</v>
      </c>
      <c r="H108" s="169">
        <v>45323</v>
      </c>
      <c r="I108" s="165">
        <v>0</v>
      </c>
      <c r="J108" s="165">
        <v>4</v>
      </c>
      <c r="K108" s="165">
        <v>5</v>
      </c>
      <c r="L108" s="165">
        <v>4</v>
      </c>
      <c r="M108" s="165">
        <v>1</v>
      </c>
      <c r="N108" s="165">
        <v>5</v>
      </c>
    </row>
    <row r="109" spans="1:14" ht="24" customHeight="1">
      <c r="A109" s="162">
        <v>4132</v>
      </c>
      <c r="B109" s="162" t="s">
        <v>363</v>
      </c>
      <c r="C109" s="165" t="s">
        <v>300</v>
      </c>
      <c r="D109" s="165" t="s">
        <v>317</v>
      </c>
      <c r="E109" s="165" t="s">
        <v>318</v>
      </c>
      <c r="F109" s="165">
        <v>3185571577</v>
      </c>
      <c r="G109" s="165">
        <v>6</v>
      </c>
      <c r="H109" s="169">
        <v>45689</v>
      </c>
      <c r="I109" s="165">
        <v>0</v>
      </c>
      <c r="J109" s="165">
        <v>3</v>
      </c>
      <c r="K109" s="165">
        <v>4</v>
      </c>
      <c r="L109" s="165">
        <v>4</v>
      </c>
      <c r="M109" s="165">
        <v>0</v>
      </c>
      <c r="N109" s="165">
        <v>3</v>
      </c>
    </row>
    <row r="110" spans="1:14" ht="24" customHeight="1">
      <c r="A110" s="163">
        <v>4132</v>
      </c>
      <c r="B110" s="163" t="s">
        <v>363</v>
      </c>
      <c r="C110" s="165" t="s">
        <v>319</v>
      </c>
      <c r="D110" s="165" t="s">
        <v>320</v>
      </c>
      <c r="E110" s="165" t="s">
        <v>321</v>
      </c>
      <c r="F110" s="165">
        <v>3117589822</v>
      </c>
      <c r="G110" s="165">
        <v>11</v>
      </c>
      <c r="H110" s="169">
        <v>41306</v>
      </c>
      <c r="I110" s="165">
        <v>0</v>
      </c>
      <c r="J110" s="165">
        <v>4</v>
      </c>
      <c r="K110" s="165">
        <v>5</v>
      </c>
      <c r="L110" s="165">
        <v>8</v>
      </c>
      <c r="M110" s="165">
        <v>1</v>
      </c>
      <c r="N110" s="165">
        <v>4</v>
      </c>
    </row>
    <row r="111" spans="1:14" ht="24" customHeight="1">
      <c r="A111" s="162">
        <v>4132</v>
      </c>
      <c r="B111" s="162" t="s">
        <v>363</v>
      </c>
      <c r="C111" s="165" t="s">
        <v>319</v>
      </c>
      <c r="D111" s="165" t="s">
        <v>322</v>
      </c>
      <c r="E111" s="165" t="s">
        <v>323</v>
      </c>
      <c r="F111" s="165">
        <v>3184459583</v>
      </c>
      <c r="G111" s="165">
        <v>8</v>
      </c>
      <c r="H111" s="169">
        <v>45323</v>
      </c>
      <c r="I111" s="165">
        <v>0</v>
      </c>
      <c r="J111" s="165">
        <v>3</v>
      </c>
      <c r="K111" s="165">
        <v>4</v>
      </c>
      <c r="L111" s="165">
        <v>8</v>
      </c>
      <c r="M111" s="165">
        <v>1</v>
      </c>
      <c r="N111" s="165">
        <v>3</v>
      </c>
    </row>
    <row r="112" spans="1:14" ht="24" customHeight="1">
      <c r="A112" s="163">
        <v>4132</v>
      </c>
      <c r="B112" s="163" t="s">
        <v>363</v>
      </c>
      <c r="C112" s="165" t="s">
        <v>319</v>
      </c>
      <c r="D112" s="165" t="s">
        <v>324</v>
      </c>
      <c r="E112" s="165" t="s">
        <v>325</v>
      </c>
      <c r="F112" s="165">
        <v>3104154001</v>
      </c>
      <c r="G112" s="165">
        <v>9</v>
      </c>
      <c r="H112" s="169">
        <v>45323</v>
      </c>
      <c r="I112" s="165">
        <v>0</v>
      </c>
      <c r="J112" s="165">
        <v>3</v>
      </c>
      <c r="K112" s="165">
        <v>4</v>
      </c>
      <c r="L112" s="165">
        <v>8</v>
      </c>
      <c r="M112" s="165">
        <v>1</v>
      </c>
      <c r="N112" s="165">
        <v>3</v>
      </c>
    </row>
    <row r="113" spans="1:14" ht="24" customHeight="1">
      <c r="A113" s="162">
        <v>4132</v>
      </c>
      <c r="B113" s="162" t="s">
        <v>363</v>
      </c>
      <c r="C113" s="165" t="s">
        <v>319</v>
      </c>
      <c r="D113" s="165" t="s">
        <v>326</v>
      </c>
      <c r="E113" s="165" t="s">
        <v>327</v>
      </c>
      <c r="F113" s="165">
        <v>3002334044</v>
      </c>
      <c r="G113" s="165">
        <v>5</v>
      </c>
      <c r="H113" s="169">
        <v>45689</v>
      </c>
      <c r="I113" s="165">
        <v>0</v>
      </c>
      <c r="J113" s="165">
        <v>4</v>
      </c>
      <c r="K113" s="165">
        <v>5</v>
      </c>
      <c r="L113" s="165">
        <v>8</v>
      </c>
      <c r="M113" s="165">
        <v>1</v>
      </c>
      <c r="N113" s="165">
        <v>5</v>
      </c>
    </row>
    <row r="114" spans="1:14" ht="24" customHeight="1">
      <c r="A114" s="163">
        <v>4132</v>
      </c>
      <c r="B114" s="163" t="s">
        <v>363</v>
      </c>
      <c r="C114" s="165" t="s">
        <v>319</v>
      </c>
      <c r="D114" s="165" t="s">
        <v>328</v>
      </c>
      <c r="E114" s="165" t="s">
        <v>329</v>
      </c>
      <c r="F114" s="165">
        <v>3006469561</v>
      </c>
      <c r="G114" s="165" t="s">
        <v>330</v>
      </c>
      <c r="H114" s="169">
        <v>45536</v>
      </c>
      <c r="I114" s="165">
        <v>0</v>
      </c>
      <c r="J114" s="165">
        <v>3</v>
      </c>
      <c r="K114" s="165">
        <v>4</v>
      </c>
      <c r="L114" s="165">
        <v>8</v>
      </c>
      <c r="M114" s="165">
        <v>1</v>
      </c>
      <c r="N114" s="165">
        <v>3</v>
      </c>
    </row>
    <row r="115" spans="1:14" ht="24" customHeight="1">
      <c r="A115" s="162">
        <v>4132</v>
      </c>
      <c r="B115" s="162" t="s">
        <v>363</v>
      </c>
      <c r="C115" s="165" t="s">
        <v>331</v>
      </c>
      <c r="D115" s="165" t="s">
        <v>332</v>
      </c>
      <c r="E115" s="165" t="s">
        <v>333</v>
      </c>
      <c r="F115" s="165">
        <v>3233652585</v>
      </c>
      <c r="G115" s="165">
        <v>5</v>
      </c>
      <c r="H115" s="169">
        <v>45809</v>
      </c>
      <c r="I115" s="165">
        <v>0</v>
      </c>
      <c r="J115" s="165">
        <v>3</v>
      </c>
      <c r="K115" s="165">
        <v>4</v>
      </c>
      <c r="L115" s="165">
        <v>8</v>
      </c>
      <c r="M115" s="165">
        <v>1</v>
      </c>
      <c r="N115" s="165">
        <v>3</v>
      </c>
    </row>
    <row r="116" spans="1:14" ht="24" customHeight="1">
      <c r="A116" s="163">
        <v>4132</v>
      </c>
      <c r="B116" s="163" t="s">
        <v>363</v>
      </c>
      <c r="C116" s="165" t="s">
        <v>331</v>
      </c>
      <c r="D116" s="165" t="s">
        <v>334</v>
      </c>
      <c r="E116" s="165" t="s">
        <v>335</v>
      </c>
      <c r="F116" s="165">
        <v>3177585980</v>
      </c>
      <c r="G116" s="165">
        <v>2</v>
      </c>
      <c r="H116" s="169">
        <v>45292</v>
      </c>
      <c r="I116" s="165">
        <v>0</v>
      </c>
      <c r="J116" s="165">
        <v>3</v>
      </c>
      <c r="K116" s="165">
        <v>4</v>
      </c>
      <c r="L116" s="165">
        <v>5</v>
      </c>
      <c r="M116" s="165">
        <v>1</v>
      </c>
      <c r="N116" s="165">
        <v>3</v>
      </c>
    </row>
    <row r="117" spans="1:14" ht="24" customHeight="1">
      <c r="A117" s="162">
        <v>4132</v>
      </c>
      <c r="B117" s="162" t="s">
        <v>363</v>
      </c>
      <c r="C117" s="165" t="s">
        <v>336</v>
      </c>
      <c r="D117" s="165" t="s">
        <v>337</v>
      </c>
      <c r="E117" s="165" t="s">
        <v>338</v>
      </c>
      <c r="F117" s="165">
        <v>3182268407</v>
      </c>
      <c r="G117" s="165">
        <v>4</v>
      </c>
      <c r="H117" s="169">
        <v>45717</v>
      </c>
      <c r="I117" s="165">
        <v>0</v>
      </c>
      <c r="J117" s="165">
        <v>3</v>
      </c>
      <c r="K117" s="165">
        <v>4</v>
      </c>
      <c r="L117" s="165">
        <v>8</v>
      </c>
      <c r="M117" s="165">
        <v>1</v>
      </c>
      <c r="N117" s="165">
        <v>5</v>
      </c>
    </row>
    <row r="118" spans="1:14" ht="24" customHeight="1">
      <c r="A118" s="163">
        <v>4132</v>
      </c>
      <c r="B118" s="163" t="s">
        <v>363</v>
      </c>
      <c r="C118" s="165" t="s">
        <v>339</v>
      </c>
      <c r="D118" s="165" t="s">
        <v>340</v>
      </c>
      <c r="E118" s="165" t="s">
        <v>341</v>
      </c>
      <c r="F118" s="165">
        <v>3022542063</v>
      </c>
      <c r="G118" s="165">
        <v>7</v>
      </c>
      <c r="H118" s="169">
        <v>45809</v>
      </c>
      <c r="I118" s="165">
        <v>0</v>
      </c>
      <c r="J118" s="165">
        <v>3</v>
      </c>
      <c r="K118" s="165">
        <v>4</v>
      </c>
      <c r="L118" s="165">
        <v>1</v>
      </c>
      <c r="M118" s="165">
        <v>0</v>
      </c>
      <c r="N118" s="165">
        <v>4</v>
      </c>
    </row>
    <row r="119" spans="1:14" ht="24" customHeight="1">
      <c r="A119" s="162">
        <v>4132</v>
      </c>
      <c r="B119" s="162" t="s">
        <v>363</v>
      </c>
      <c r="C119" s="165" t="s">
        <v>339</v>
      </c>
      <c r="D119" s="165" t="s">
        <v>342</v>
      </c>
      <c r="E119" s="165" t="s">
        <v>343</v>
      </c>
      <c r="F119" s="165">
        <v>3163159939</v>
      </c>
      <c r="G119" s="165">
        <v>2</v>
      </c>
      <c r="H119" s="169">
        <v>45536</v>
      </c>
      <c r="I119" s="165">
        <v>0</v>
      </c>
      <c r="J119" s="165">
        <v>4</v>
      </c>
      <c r="K119" s="165">
        <v>5</v>
      </c>
      <c r="L119" s="165">
        <v>2</v>
      </c>
      <c r="M119" s="165">
        <v>0</v>
      </c>
      <c r="N119" s="165">
        <v>4</v>
      </c>
    </row>
    <row r="120" spans="1:14" ht="24" customHeight="1">
      <c r="A120" s="163">
        <v>4132</v>
      </c>
      <c r="B120" s="163" t="s">
        <v>363</v>
      </c>
      <c r="C120" s="165" t="s">
        <v>339</v>
      </c>
      <c r="D120" s="165" t="s">
        <v>344</v>
      </c>
      <c r="E120" s="165" t="s">
        <v>345</v>
      </c>
      <c r="F120" s="165">
        <v>3148668533</v>
      </c>
      <c r="G120" s="165">
        <v>12</v>
      </c>
      <c r="H120" s="169"/>
      <c r="I120" s="165">
        <v>0</v>
      </c>
      <c r="J120" s="165">
        <v>4</v>
      </c>
      <c r="K120" s="165">
        <v>5</v>
      </c>
      <c r="L120" s="165">
        <v>2</v>
      </c>
      <c r="M120" s="165">
        <v>0</v>
      </c>
      <c r="N120" s="165">
        <v>6</v>
      </c>
    </row>
    <row r="121" spans="1:14" ht="24" customHeight="1">
      <c r="A121" s="162">
        <v>4132</v>
      </c>
      <c r="B121" s="162" t="s">
        <v>363</v>
      </c>
      <c r="C121" s="165" t="s">
        <v>339</v>
      </c>
      <c r="D121" s="165" t="s">
        <v>346</v>
      </c>
      <c r="E121" s="165" t="s">
        <v>347</v>
      </c>
      <c r="F121" s="165">
        <v>3187350091</v>
      </c>
      <c r="G121" s="165">
        <v>11</v>
      </c>
      <c r="H121" s="169">
        <v>45474</v>
      </c>
      <c r="I121" s="165">
        <v>0</v>
      </c>
      <c r="J121" s="165">
        <v>4</v>
      </c>
      <c r="K121" s="165">
        <v>5</v>
      </c>
      <c r="L121" s="165">
        <v>3</v>
      </c>
      <c r="M121" s="165">
        <v>1</v>
      </c>
      <c r="N121" s="165">
        <v>5</v>
      </c>
    </row>
    <row r="122" spans="1:14" ht="24" customHeight="1">
      <c r="A122" s="163">
        <v>4132</v>
      </c>
      <c r="B122" s="163" t="s">
        <v>363</v>
      </c>
      <c r="C122" s="165" t="s">
        <v>339</v>
      </c>
      <c r="D122" s="165" t="s">
        <v>348</v>
      </c>
      <c r="E122" s="165" t="s">
        <v>349</v>
      </c>
      <c r="F122" s="165">
        <v>3165346114</v>
      </c>
      <c r="G122" s="165">
        <v>2</v>
      </c>
      <c r="H122" s="169">
        <v>45809</v>
      </c>
      <c r="I122" s="165">
        <v>0</v>
      </c>
      <c r="J122" s="165">
        <v>3</v>
      </c>
      <c r="K122" s="165">
        <v>4</v>
      </c>
      <c r="L122" s="165">
        <v>1</v>
      </c>
      <c r="M122" s="165">
        <v>0</v>
      </c>
      <c r="N122" s="165">
        <v>5</v>
      </c>
    </row>
    <row r="123" spans="1:14" ht="24" customHeight="1">
      <c r="A123" s="162">
        <v>4132</v>
      </c>
      <c r="B123" s="162" t="s">
        <v>363</v>
      </c>
      <c r="C123" s="165" t="s">
        <v>350</v>
      </c>
      <c r="D123" s="165" t="s">
        <v>351</v>
      </c>
      <c r="E123" s="168" t="s">
        <v>352</v>
      </c>
      <c r="F123" s="165">
        <v>3103834365</v>
      </c>
      <c r="G123" s="165">
        <v>20</v>
      </c>
      <c r="H123" s="169">
        <v>39722</v>
      </c>
      <c r="I123" s="165">
        <v>0</v>
      </c>
      <c r="J123" s="165">
        <v>4</v>
      </c>
      <c r="K123" s="165">
        <v>5</v>
      </c>
      <c r="L123" s="165">
        <v>8</v>
      </c>
      <c r="M123" s="165">
        <v>1</v>
      </c>
      <c r="N123" s="165">
        <v>5</v>
      </c>
    </row>
    <row r="124" spans="1:14" ht="24" customHeight="1">
      <c r="A124" s="163">
        <v>4132</v>
      </c>
      <c r="B124" s="163" t="s">
        <v>363</v>
      </c>
      <c r="C124" s="165" t="s">
        <v>350</v>
      </c>
      <c r="D124" s="165" t="s">
        <v>353</v>
      </c>
      <c r="E124" s="165" t="s">
        <v>354</v>
      </c>
      <c r="F124" s="165">
        <v>3017592666</v>
      </c>
      <c r="G124" s="165">
        <v>21</v>
      </c>
      <c r="H124" s="169">
        <v>41275</v>
      </c>
      <c r="I124" s="165">
        <v>0</v>
      </c>
      <c r="J124" s="165">
        <v>4</v>
      </c>
      <c r="K124" s="165">
        <v>5</v>
      </c>
      <c r="L124" s="165">
        <v>8</v>
      </c>
      <c r="M124" s="165">
        <v>1</v>
      </c>
      <c r="N124" s="165">
        <v>4</v>
      </c>
    </row>
    <row r="125" spans="1:14" ht="24" customHeight="1">
      <c r="A125" s="162">
        <v>4132</v>
      </c>
      <c r="B125" s="162" t="s">
        <v>363</v>
      </c>
      <c r="C125" s="165" t="s">
        <v>350</v>
      </c>
      <c r="D125" s="165" t="s">
        <v>355</v>
      </c>
      <c r="E125" s="165" t="s">
        <v>356</v>
      </c>
      <c r="F125" s="165">
        <v>3154284316</v>
      </c>
      <c r="G125" s="165">
        <v>20</v>
      </c>
      <c r="H125" s="169">
        <v>45536</v>
      </c>
      <c r="I125" s="165">
        <v>0</v>
      </c>
      <c r="J125" s="165">
        <v>4</v>
      </c>
      <c r="K125" s="165">
        <v>5</v>
      </c>
      <c r="L125" s="165">
        <v>5</v>
      </c>
      <c r="M125" s="165">
        <v>1</v>
      </c>
      <c r="N125" s="165">
        <v>5</v>
      </c>
    </row>
    <row r="126" spans="1:14" ht="24" customHeight="1">
      <c r="A126" s="163">
        <v>4132</v>
      </c>
      <c r="B126" s="163" t="s">
        <v>363</v>
      </c>
      <c r="C126" s="165" t="s">
        <v>350</v>
      </c>
      <c r="D126" s="165" t="s">
        <v>357</v>
      </c>
      <c r="E126" s="165" t="s">
        <v>358</v>
      </c>
      <c r="F126" s="165">
        <v>3184935821</v>
      </c>
      <c r="G126" s="165">
        <v>11</v>
      </c>
      <c r="H126" s="169">
        <v>45536</v>
      </c>
      <c r="I126" s="165">
        <v>0</v>
      </c>
      <c r="J126" s="165">
        <v>4</v>
      </c>
      <c r="K126" s="165">
        <v>5</v>
      </c>
      <c r="L126" s="165">
        <v>5</v>
      </c>
      <c r="M126" s="165">
        <v>1</v>
      </c>
      <c r="N126" s="165">
        <v>4</v>
      </c>
    </row>
    <row r="127" spans="1:14" ht="24" customHeight="1">
      <c r="A127" s="162">
        <v>4132</v>
      </c>
      <c r="B127" s="162" t="s">
        <v>363</v>
      </c>
      <c r="C127" s="165" t="s">
        <v>350</v>
      </c>
      <c r="D127" s="165" t="s">
        <v>359</v>
      </c>
      <c r="E127" s="165" t="s">
        <v>360</v>
      </c>
      <c r="F127" s="165">
        <v>3108385082</v>
      </c>
      <c r="G127" s="165">
        <v>6</v>
      </c>
      <c r="H127" s="169">
        <v>45536</v>
      </c>
      <c r="I127" s="165">
        <v>0</v>
      </c>
      <c r="J127" s="165">
        <v>3</v>
      </c>
      <c r="K127" s="165">
        <v>4</v>
      </c>
      <c r="L127" s="165">
        <v>5</v>
      </c>
      <c r="M127" s="165">
        <v>1</v>
      </c>
      <c r="N127" s="165">
        <v>3</v>
      </c>
    </row>
    <row r="128" spans="1:14" ht="24" customHeight="1">
      <c r="A128" s="163">
        <v>4132</v>
      </c>
      <c r="B128" s="163" t="s">
        <v>363</v>
      </c>
      <c r="C128" s="165" t="s">
        <v>350</v>
      </c>
      <c r="D128" s="165" t="s">
        <v>361</v>
      </c>
      <c r="E128" s="165" t="s">
        <v>362</v>
      </c>
      <c r="F128" s="165">
        <v>3502872051</v>
      </c>
      <c r="G128" s="165">
        <v>5</v>
      </c>
      <c r="H128" s="169">
        <v>45536</v>
      </c>
      <c r="I128" s="165">
        <v>0</v>
      </c>
      <c r="J128" s="165">
        <v>1</v>
      </c>
      <c r="K128" s="165">
        <v>2</v>
      </c>
      <c r="L128" s="165">
        <v>1</v>
      </c>
      <c r="M128" s="165">
        <v>1</v>
      </c>
      <c r="N128" s="165">
        <v>1</v>
      </c>
    </row>
    <row r="129" spans="1:14" ht="24" customHeight="1">
      <c r="A129" s="162">
        <v>4134</v>
      </c>
      <c r="B129" s="162" t="s">
        <v>374</v>
      </c>
      <c r="C129" s="165" t="s">
        <v>364</v>
      </c>
      <c r="D129" s="165" t="s">
        <v>365</v>
      </c>
      <c r="E129" s="165" t="s">
        <v>366</v>
      </c>
      <c r="F129" s="165">
        <v>3154448902</v>
      </c>
      <c r="G129" s="165">
        <v>30</v>
      </c>
      <c r="H129" s="169">
        <v>42248</v>
      </c>
      <c r="I129" s="165">
        <v>0</v>
      </c>
      <c r="J129" s="165">
        <v>3</v>
      </c>
      <c r="K129" s="165">
        <v>4</v>
      </c>
      <c r="L129" s="165">
        <v>7</v>
      </c>
      <c r="M129" s="165">
        <v>0</v>
      </c>
      <c r="N129" s="165">
        <v>5</v>
      </c>
    </row>
    <row r="130" spans="1:14" ht="24" customHeight="1">
      <c r="A130" s="163">
        <v>4134</v>
      </c>
      <c r="B130" s="163" t="s">
        <v>374</v>
      </c>
      <c r="C130" s="165" t="s">
        <v>364</v>
      </c>
      <c r="D130" s="165" t="s">
        <v>367</v>
      </c>
      <c r="E130" s="165" t="s">
        <v>368</v>
      </c>
      <c r="F130" s="165">
        <v>3137368699</v>
      </c>
      <c r="G130" s="165">
        <v>2</v>
      </c>
      <c r="H130" s="169">
        <v>42248</v>
      </c>
      <c r="I130" s="165">
        <v>0</v>
      </c>
      <c r="J130" s="165">
        <v>3</v>
      </c>
      <c r="K130" s="165">
        <v>4</v>
      </c>
      <c r="L130" s="165">
        <v>4</v>
      </c>
      <c r="M130" s="165">
        <v>0</v>
      </c>
      <c r="N130" s="165">
        <v>3</v>
      </c>
    </row>
    <row r="131" spans="1:14" ht="24" customHeight="1">
      <c r="A131" s="162">
        <v>4134</v>
      </c>
      <c r="B131" s="162" t="s">
        <v>374</v>
      </c>
      <c r="C131" s="165" t="s">
        <v>364</v>
      </c>
      <c r="D131" s="165" t="s">
        <v>369</v>
      </c>
      <c r="E131" s="165" t="s">
        <v>370</v>
      </c>
      <c r="F131" s="165">
        <v>3175537754</v>
      </c>
      <c r="G131" s="165">
        <v>5</v>
      </c>
      <c r="H131" s="169">
        <v>43831</v>
      </c>
      <c r="I131" s="165">
        <v>0</v>
      </c>
      <c r="J131" s="165">
        <v>4</v>
      </c>
      <c r="K131" s="165">
        <v>5</v>
      </c>
      <c r="L131" s="165">
        <v>4</v>
      </c>
      <c r="M131" s="165">
        <v>0</v>
      </c>
      <c r="N131" s="165">
        <v>4</v>
      </c>
    </row>
    <row r="132" spans="1:14" ht="24" customHeight="1">
      <c r="A132" s="163">
        <v>4134</v>
      </c>
      <c r="B132" s="163" t="s">
        <v>374</v>
      </c>
      <c r="C132" s="165" t="s">
        <v>371</v>
      </c>
      <c r="D132" s="165" t="s">
        <v>372</v>
      </c>
      <c r="E132" s="165" t="s">
        <v>373</v>
      </c>
      <c r="F132" s="165">
        <v>3183904372</v>
      </c>
      <c r="G132" s="165">
        <v>20</v>
      </c>
      <c r="H132" s="169">
        <v>44440</v>
      </c>
      <c r="I132" s="165">
        <v>0</v>
      </c>
      <c r="J132" s="165">
        <v>4</v>
      </c>
      <c r="K132" s="165">
        <v>5</v>
      </c>
      <c r="L132" s="165">
        <v>3</v>
      </c>
      <c r="M132" s="165">
        <v>0</v>
      </c>
      <c r="N132" s="165">
        <v>5</v>
      </c>
    </row>
    <row r="133" spans="1:14" ht="24" customHeight="1">
      <c r="A133" s="162">
        <v>4146</v>
      </c>
      <c r="B133" s="162" t="s">
        <v>422</v>
      </c>
      <c r="C133" s="165" t="s">
        <v>375</v>
      </c>
      <c r="D133" s="165" t="s">
        <v>376</v>
      </c>
      <c r="E133" s="165" t="s">
        <v>377</v>
      </c>
      <c r="F133" s="165" t="s">
        <v>378</v>
      </c>
      <c r="G133" s="165" t="s">
        <v>379</v>
      </c>
      <c r="H133" s="169" t="s">
        <v>380</v>
      </c>
      <c r="I133" s="165">
        <v>0</v>
      </c>
      <c r="J133" s="165">
        <v>3</v>
      </c>
      <c r="K133" s="165">
        <v>4</v>
      </c>
      <c r="L133" s="165">
        <v>5</v>
      </c>
      <c r="M133" s="165">
        <v>1</v>
      </c>
      <c r="N133" s="165">
        <v>6</v>
      </c>
    </row>
    <row r="134" spans="1:14" ht="24" customHeight="1">
      <c r="A134" s="163">
        <v>4146</v>
      </c>
      <c r="B134" s="163" t="s">
        <v>422</v>
      </c>
      <c r="C134" s="165" t="s">
        <v>375</v>
      </c>
      <c r="D134" s="165" t="s">
        <v>381</v>
      </c>
      <c r="E134" s="165" t="s">
        <v>382</v>
      </c>
      <c r="F134" s="165" t="s">
        <v>383</v>
      </c>
      <c r="G134" s="165" t="s">
        <v>379</v>
      </c>
      <c r="H134" s="169" t="s">
        <v>380</v>
      </c>
      <c r="I134" s="165">
        <v>0</v>
      </c>
      <c r="J134" s="165">
        <v>3</v>
      </c>
      <c r="K134" s="165">
        <v>4</v>
      </c>
      <c r="L134" s="165">
        <v>5</v>
      </c>
      <c r="M134" s="165">
        <v>1</v>
      </c>
      <c r="N134" s="165">
        <v>5</v>
      </c>
    </row>
    <row r="135" spans="1:14" ht="24" customHeight="1">
      <c r="A135" s="162">
        <v>4146</v>
      </c>
      <c r="B135" s="162" t="s">
        <v>422</v>
      </c>
      <c r="C135" s="165" t="s">
        <v>375</v>
      </c>
      <c r="D135" s="165" t="s">
        <v>384</v>
      </c>
      <c r="E135" s="165" t="s">
        <v>385</v>
      </c>
      <c r="F135" s="165" t="s">
        <v>386</v>
      </c>
      <c r="G135" s="165" t="s">
        <v>379</v>
      </c>
      <c r="H135" s="169" t="s">
        <v>387</v>
      </c>
      <c r="I135" s="165">
        <v>0</v>
      </c>
      <c r="J135" s="165">
        <v>4</v>
      </c>
      <c r="K135" s="165">
        <v>5</v>
      </c>
      <c r="L135" s="165">
        <v>5</v>
      </c>
      <c r="M135" s="165">
        <v>1</v>
      </c>
      <c r="N135" s="165">
        <v>4</v>
      </c>
    </row>
    <row r="136" spans="1:14" ht="24" customHeight="1">
      <c r="A136" s="163">
        <v>4146</v>
      </c>
      <c r="B136" s="163" t="s">
        <v>422</v>
      </c>
      <c r="C136" s="165" t="s">
        <v>388</v>
      </c>
      <c r="D136" s="165" t="s">
        <v>389</v>
      </c>
      <c r="E136" s="165" t="s">
        <v>390</v>
      </c>
      <c r="F136" s="165">
        <v>3154079120</v>
      </c>
      <c r="G136" s="165" t="s">
        <v>379</v>
      </c>
      <c r="H136" s="169" t="s">
        <v>391</v>
      </c>
      <c r="I136" s="165">
        <v>0</v>
      </c>
      <c r="J136" s="165">
        <v>4</v>
      </c>
      <c r="K136" s="165">
        <v>5</v>
      </c>
      <c r="L136" s="165">
        <v>6</v>
      </c>
      <c r="M136" s="165">
        <v>1</v>
      </c>
      <c r="N136" s="165">
        <v>5</v>
      </c>
    </row>
    <row r="137" spans="1:14" ht="24" customHeight="1">
      <c r="A137" s="162">
        <v>4146</v>
      </c>
      <c r="B137" s="162" t="s">
        <v>422</v>
      </c>
      <c r="C137" s="165" t="s">
        <v>392</v>
      </c>
      <c r="D137" s="165" t="s">
        <v>393</v>
      </c>
      <c r="E137" s="165" t="s">
        <v>394</v>
      </c>
      <c r="F137" s="165" t="s">
        <v>395</v>
      </c>
      <c r="G137" s="165" t="s">
        <v>379</v>
      </c>
      <c r="H137" s="169" t="s">
        <v>396</v>
      </c>
      <c r="I137" s="165">
        <v>0</v>
      </c>
      <c r="J137" s="165">
        <v>3</v>
      </c>
      <c r="K137" s="165">
        <v>4</v>
      </c>
      <c r="L137" s="165">
        <v>6</v>
      </c>
      <c r="M137" s="165">
        <v>1</v>
      </c>
      <c r="N137" s="165">
        <v>5</v>
      </c>
    </row>
    <row r="138" spans="1:14" ht="24" customHeight="1">
      <c r="A138" s="163">
        <v>4146</v>
      </c>
      <c r="B138" s="163" t="s">
        <v>422</v>
      </c>
      <c r="C138" s="165" t="s">
        <v>392</v>
      </c>
      <c r="D138" s="165" t="s">
        <v>397</v>
      </c>
      <c r="E138" s="165" t="s">
        <v>398</v>
      </c>
      <c r="F138" s="165" t="s">
        <v>399</v>
      </c>
      <c r="G138" s="165" t="s">
        <v>379</v>
      </c>
      <c r="H138" s="169" t="s">
        <v>400</v>
      </c>
      <c r="I138" s="165">
        <v>0</v>
      </c>
      <c r="J138" s="165">
        <v>3</v>
      </c>
      <c r="K138" s="165">
        <v>4</v>
      </c>
      <c r="L138" s="165">
        <v>6</v>
      </c>
      <c r="M138" s="165">
        <v>1</v>
      </c>
      <c r="N138" s="165">
        <v>3</v>
      </c>
    </row>
    <row r="139" spans="1:14" ht="24" customHeight="1">
      <c r="A139" s="162">
        <v>4146</v>
      </c>
      <c r="B139" s="162" t="s">
        <v>422</v>
      </c>
      <c r="C139" s="165" t="s">
        <v>392</v>
      </c>
      <c r="D139" s="165" t="s">
        <v>401</v>
      </c>
      <c r="E139" s="165" t="s">
        <v>402</v>
      </c>
      <c r="F139" s="165" t="s">
        <v>403</v>
      </c>
      <c r="G139" s="165" t="s">
        <v>379</v>
      </c>
      <c r="H139" s="169" t="s">
        <v>404</v>
      </c>
      <c r="I139" s="165">
        <v>0</v>
      </c>
      <c r="J139" s="165">
        <v>3</v>
      </c>
      <c r="K139" s="165">
        <v>4</v>
      </c>
      <c r="L139" s="165">
        <v>6</v>
      </c>
      <c r="M139" s="165">
        <v>1</v>
      </c>
      <c r="N139" s="165">
        <v>4</v>
      </c>
    </row>
    <row r="140" spans="1:14" ht="24" customHeight="1">
      <c r="A140" s="163">
        <v>4146</v>
      </c>
      <c r="B140" s="163" t="s">
        <v>422</v>
      </c>
      <c r="C140" s="165" t="s">
        <v>392</v>
      </c>
      <c r="D140" s="165" t="s">
        <v>405</v>
      </c>
      <c r="E140" s="165" t="s">
        <v>406</v>
      </c>
      <c r="F140" s="165" t="s">
        <v>407</v>
      </c>
      <c r="G140" s="165" t="s">
        <v>379</v>
      </c>
      <c r="H140" s="169" t="s">
        <v>387</v>
      </c>
      <c r="I140" s="165">
        <v>0</v>
      </c>
      <c r="J140" s="165">
        <v>3</v>
      </c>
      <c r="K140" s="165">
        <v>4</v>
      </c>
      <c r="L140" s="165">
        <v>3</v>
      </c>
      <c r="M140" s="165">
        <v>1</v>
      </c>
      <c r="N140" s="165">
        <v>3</v>
      </c>
    </row>
    <row r="141" spans="1:14" ht="24" customHeight="1">
      <c r="A141" s="162">
        <v>4146</v>
      </c>
      <c r="B141" s="162" t="s">
        <v>422</v>
      </c>
      <c r="C141" s="165" t="s">
        <v>408</v>
      </c>
      <c r="D141" s="165" t="s">
        <v>409</v>
      </c>
      <c r="E141" s="165" t="s">
        <v>410</v>
      </c>
      <c r="F141" s="165">
        <v>3158561981</v>
      </c>
      <c r="G141" s="165" t="s">
        <v>411</v>
      </c>
      <c r="H141" s="169" t="s">
        <v>412</v>
      </c>
      <c r="I141" s="165">
        <v>4</v>
      </c>
      <c r="J141" s="165">
        <v>0</v>
      </c>
      <c r="K141" s="165">
        <v>1</v>
      </c>
      <c r="L141" s="165">
        <v>3</v>
      </c>
      <c r="M141" s="165">
        <v>1</v>
      </c>
      <c r="N141" s="165">
        <v>3</v>
      </c>
    </row>
    <row r="142" spans="1:14" ht="24" customHeight="1">
      <c r="A142" s="163">
        <v>4146</v>
      </c>
      <c r="B142" s="163" t="s">
        <v>422</v>
      </c>
      <c r="C142" s="165" t="s">
        <v>408</v>
      </c>
      <c r="D142" s="165" t="s">
        <v>413</v>
      </c>
      <c r="E142" s="165" t="s">
        <v>414</v>
      </c>
      <c r="F142" s="165">
        <v>3216674108</v>
      </c>
      <c r="G142" s="165" t="s">
        <v>42</v>
      </c>
      <c r="H142" s="169" t="s">
        <v>415</v>
      </c>
      <c r="I142" s="165">
        <v>0</v>
      </c>
      <c r="J142" s="165">
        <v>4</v>
      </c>
      <c r="K142" s="165">
        <v>5</v>
      </c>
      <c r="L142" s="165">
        <v>6</v>
      </c>
      <c r="M142" s="165">
        <v>1</v>
      </c>
      <c r="N142" s="165">
        <v>5</v>
      </c>
    </row>
    <row r="143" spans="1:14" ht="24" customHeight="1">
      <c r="A143" s="162">
        <v>4146</v>
      </c>
      <c r="B143" s="162" t="s">
        <v>422</v>
      </c>
      <c r="C143" s="165" t="s">
        <v>417</v>
      </c>
      <c r="D143" s="165" t="s">
        <v>418</v>
      </c>
      <c r="E143" s="165" t="s">
        <v>419</v>
      </c>
      <c r="F143" s="165">
        <v>3163307515</v>
      </c>
      <c r="G143" s="165" t="s">
        <v>420</v>
      </c>
      <c r="H143" s="169" t="s">
        <v>421</v>
      </c>
      <c r="I143" s="165">
        <v>0</v>
      </c>
      <c r="J143" s="165">
        <v>4</v>
      </c>
      <c r="K143" s="165">
        <v>5</v>
      </c>
      <c r="L143" s="165">
        <v>1</v>
      </c>
      <c r="M143" s="165">
        <v>0</v>
      </c>
      <c r="N143" s="165">
        <v>5</v>
      </c>
    </row>
    <row r="144" spans="1:14" ht="24" customHeight="1">
      <c r="A144" s="163">
        <v>4148</v>
      </c>
      <c r="B144" s="163" t="s">
        <v>446</v>
      </c>
      <c r="C144" s="165" t="s">
        <v>434</v>
      </c>
      <c r="D144" s="165" t="s">
        <v>435</v>
      </c>
      <c r="E144" s="165" t="s">
        <v>436</v>
      </c>
      <c r="F144" s="165">
        <v>3116041649</v>
      </c>
      <c r="G144" s="165">
        <v>4</v>
      </c>
      <c r="H144" s="169">
        <v>45383</v>
      </c>
      <c r="I144" s="165">
        <v>0</v>
      </c>
      <c r="J144" s="165">
        <v>3</v>
      </c>
      <c r="K144" s="165">
        <v>4</v>
      </c>
      <c r="L144" s="165">
        <v>3</v>
      </c>
      <c r="M144" s="165">
        <v>0</v>
      </c>
      <c r="N144" s="165">
        <v>4</v>
      </c>
    </row>
    <row r="145" spans="1:14" ht="24" customHeight="1">
      <c r="A145" s="162">
        <v>4148</v>
      </c>
      <c r="B145" s="162" t="s">
        <v>446</v>
      </c>
      <c r="C145" s="165" t="s">
        <v>437</v>
      </c>
      <c r="D145" s="165" t="s">
        <v>438</v>
      </c>
      <c r="E145" s="165" t="s">
        <v>439</v>
      </c>
      <c r="F145" s="165">
        <v>3105030756</v>
      </c>
      <c r="G145" s="165"/>
      <c r="H145" s="169"/>
      <c r="I145" s="165">
        <v>0</v>
      </c>
      <c r="J145" s="165">
        <v>0</v>
      </c>
      <c r="K145" s="165" t="s">
        <v>808</v>
      </c>
      <c r="L145" s="165">
        <v>3</v>
      </c>
      <c r="M145" s="165">
        <v>0</v>
      </c>
      <c r="N145" s="165">
        <v>0</v>
      </c>
    </row>
    <row r="146" spans="1:14" ht="24" customHeight="1">
      <c r="A146" s="163">
        <v>4148</v>
      </c>
      <c r="B146" s="163" t="s">
        <v>446</v>
      </c>
      <c r="C146" s="165" t="s">
        <v>440</v>
      </c>
      <c r="D146" s="165" t="s">
        <v>441</v>
      </c>
      <c r="E146" s="165" t="s">
        <v>442</v>
      </c>
      <c r="F146" s="165">
        <v>3046279644</v>
      </c>
      <c r="G146" s="165">
        <v>4</v>
      </c>
      <c r="H146" s="169">
        <v>45413</v>
      </c>
      <c r="I146" s="165">
        <v>0</v>
      </c>
      <c r="J146" s="165">
        <v>3</v>
      </c>
      <c r="K146" s="165">
        <v>4</v>
      </c>
      <c r="L146" s="165">
        <v>3</v>
      </c>
      <c r="M146" s="165">
        <v>1</v>
      </c>
      <c r="N146" s="165">
        <v>3</v>
      </c>
    </row>
    <row r="147" spans="1:14" ht="24" customHeight="1">
      <c r="A147" s="162">
        <v>4148</v>
      </c>
      <c r="B147" s="162" t="s">
        <v>446</v>
      </c>
      <c r="C147" s="165" t="s">
        <v>443</v>
      </c>
      <c r="D147" s="165" t="s">
        <v>444</v>
      </c>
      <c r="E147" s="165" t="s">
        <v>445</v>
      </c>
      <c r="F147" s="165">
        <v>3185022283</v>
      </c>
      <c r="G147" s="165">
        <v>1</v>
      </c>
      <c r="H147" s="169">
        <v>45689</v>
      </c>
      <c r="I147" s="165">
        <v>0</v>
      </c>
      <c r="J147" s="165">
        <v>3</v>
      </c>
      <c r="K147" s="165">
        <v>4</v>
      </c>
      <c r="L147" s="165">
        <v>3</v>
      </c>
      <c r="M147" s="165">
        <v>1</v>
      </c>
      <c r="N147" s="165">
        <v>3</v>
      </c>
    </row>
    <row r="148" spans="1:14" ht="24" customHeight="1">
      <c r="A148" s="163">
        <v>4171</v>
      </c>
      <c r="B148" s="163" t="s">
        <v>464</v>
      </c>
      <c r="C148" s="165" t="s">
        <v>447</v>
      </c>
      <c r="D148" s="165" t="s">
        <v>448</v>
      </c>
      <c r="E148" s="165" t="s">
        <v>449</v>
      </c>
      <c r="F148" s="165">
        <v>3186275578</v>
      </c>
      <c r="G148" s="165">
        <v>20</v>
      </c>
      <c r="H148" s="169">
        <v>43862</v>
      </c>
      <c r="I148" s="165">
        <v>0</v>
      </c>
      <c r="J148" s="165">
        <v>4</v>
      </c>
      <c r="K148" s="165">
        <v>5</v>
      </c>
      <c r="L148" s="165">
        <v>6</v>
      </c>
      <c r="M148" s="165">
        <v>1</v>
      </c>
      <c r="N148" s="165">
        <v>5</v>
      </c>
    </row>
    <row r="149" spans="1:14" ht="24" customHeight="1">
      <c r="A149" s="162">
        <v>4171</v>
      </c>
      <c r="B149" s="162" t="s">
        <v>464</v>
      </c>
      <c r="C149" s="165" t="s">
        <v>450</v>
      </c>
      <c r="D149" s="165" t="s">
        <v>451</v>
      </c>
      <c r="E149" s="165" t="s">
        <v>452</v>
      </c>
      <c r="F149" s="165">
        <v>3148620057</v>
      </c>
      <c r="G149" s="165">
        <v>7</v>
      </c>
      <c r="H149" s="169">
        <v>45870</v>
      </c>
      <c r="I149" s="165">
        <v>0</v>
      </c>
      <c r="J149" s="165">
        <v>3</v>
      </c>
      <c r="K149" s="165">
        <v>4</v>
      </c>
      <c r="L149" s="165">
        <v>2</v>
      </c>
      <c r="M149" s="165">
        <v>1</v>
      </c>
      <c r="N149" s="165">
        <v>5</v>
      </c>
    </row>
    <row r="150" spans="1:14" ht="24" customHeight="1">
      <c r="A150" s="163">
        <v>4171</v>
      </c>
      <c r="B150" s="163" t="s">
        <v>464</v>
      </c>
      <c r="C150" s="165" t="s">
        <v>447</v>
      </c>
      <c r="D150" s="165" t="s">
        <v>453</v>
      </c>
      <c r="E150" s="165" t="s">
        <v>454</v>
      </c>
      <c r="F150" s="165">
        <v>3173691933</v>
      </c>
      <c r="G150" s="165">
        <v>6</v>
      </c>
      <c r="H150" s="169">
        <v>45444</v>
      </c>
      <c r="I150" s="165">
        <v>0</v>
      </c>
      <c r="J150" s="165">
        <v>3</v>
      </c>
      <c r="K150" s="165">
        <v>4</v>
      </c>
      <c r="L150" s="165">
        <v>3</v>
      </c>
      <c r="M150" s="165">
        <v>1</v>
      </c>
      <c r="N150" s="165">
        <v>5</v>
      </c>
    </row>
    <row r="151" spans="1:14" ht="24" customHeight="1">
      <c r="A151" s="162">
        <v>4171</v>
      </c>
      <c r="B151" s="162" t="s">
        <v>464</v>
      </c>
      <c r="C151" s="165" t="s">
        <v>447</v>
      </c>
      <c r="D151" s="165" t="s">
        <v>455</v>
      </c>
      <c r="E151" s="165" t="s">
        <v>456</v>
      </c>
      <c r="F151" s="165">
        <v>3178173729</v>
      </c>
      <c r="G151" s="165">
        <v>12</v>
      </c>
      <c r="H151" s="169">
        <v>44652</v>
      </c>
      <c r="I151" s="165">
        <v>0</v>
      </c>
      <c r="J151" s="165">
        <v>3</v>
      </c>
      <c r="K151" s="165">
        <v>4</v>
      </c>
      <c r="L151" s="165">
        <v>3</v>
      </c>
      <c r="M151" s="165">
        <v>1</v>
      </c>
      <c r="N151" s="165">
        <v>5</v>
      </c>
    </row>
    <row r="152" spans="1:14" ht="24" customHeight="1">
      <c r="A152" s="163">
        <v>4171</v>
      </c>
      <c r="B152" s="163" t="s">
        <v>464</v>
      </c>
      <c r="C152" s="165" t="s">
        <v>450</v>
      </c>
      <c r="D152" s="165" t="s">
        <v>457</v>
      </c>
      <c r="E152" s="165" t="s">
        <v>458</v>
      </c>
      <c r="F152" s="165">
        <v>3167557245</v>
      </c>
      <c r="G152" s="165">
        <v>19</v>
      </c>
      <c r="H152" s="169">
        <v>43983</v>
      </c>
      <c r="I152" s="165">
        <v>4</v>
      </c>
      <c r="J152" s="165">
        <v>0</v>
      </c>
      <c r="K152" s="165">
        <v>1</v>
      </c>
      <c r="L152" s="165">
        <v>5</v>
      </c>
      <c r="M152" s="165">
        <v>1</v>
      </c>
      <c r="N152" s="165">
        <v>3</v>
      </c>
    </row>
    <row r="153" spans="1:14" ht="24" customHeight="1">
      <c r="A153" s="162">
        <v>4171</v>
      </c>
      <c r="B153" s="162" t="s">
        <v>464</v>
      </c>
      <c r="C153" s="165" t="s">
        <v>450</v>
      </c>
      <c r="D153" s="165" t="s">
        <v>459</v>
      </c>
      <c r="E153" s="165" t="s">
        <v>460</v>
      </c>
      <c r="F153" s="165">
        <v>3045454359</v>
      </c>
      <c r="G153" s="165">
        <v>7</v>
      </c>
      <c r="H153" s="169">
        <v>45597</v>
      </c>
      <c r="I153" s="165">
        <v>0</v>
      </c>
      <c r="J153" s="165">
        <v>3</v>
      </c>
      <c r="K153" s="165">
        <v>4</v>
      </c>
      <c r="L153" s="165">
        <v>4</v>
      </c>
      <c r="M153" s="165">
        <v>1</v>
      </c>
      <c r="N153" s="165">
        <v>3</v>
      </c>
    </row>
    <row r="154" spans="1:14" ht="24" customHeight="1">
      <c r="A154" s="163">
        <v>4171</v>
      </c>
      <c r="B154" s="163" t="s">
        <v>464</v>
      </c>
      <c r="C154" s="165" t="s">
        <v>450</v>
      </c>
      <c r="D154" s="165" t="s">
        <v>461</v>
      </c>
      <c r="E154" s="165" t="s">
        <v>462</v>
      </c>
      <c r="F154" s="165">
        <v>3206362402</v>
      </c>
      <c r="G154" s="165">
        <v>7</v>
      </c>
      <c r="H154" s="169">
        <v>45474</v>
      </c>
      <c r="I154" s="165">
        <v>0</v>
      </c>
      <c r="J154" s="165">
        <v>3</v>
      </c>
      <c r="K154" s="165">
        <v>4</v>
      </c>
      <c r="L154" s="165">
        <v>4</v>
      </c>
      <c r="M154" s="165">
        <v>0</v>
      </c>
      <c r="N154" s="165">
        <v>3</v>
      </c>
    </row>
    <row r="155" spans="1:14" ht="24" customHeight="1">
      <c r="A155" s="162">
        <v>4162</v>
      </c>
      <c r="B155" s="162" t="s">
        <v>504</v>
      </c>
      <c r="C155" s="165" t="s">
        <v>465</v>
      </c>
      <c r="D155" s="165" t="s">
        <v>466</v>
      </c>
      <c r="E155" s="165" t="s">
        <v>467</v>
      </c>
      <c r="F155" s="165">
        <v>3104130080</v>
      </c>
      <c r="G155" s="165">
        <v>12</v>
      </c>
      <c r="H155" s="169">
        <v>45839</v>
      </c>
      <c r="I155" s="165">
        <v>0</v>
      </c>
      <c r="J155" s="165">
        <v>4</v>
      </c>
      <c r="K155" s="165">
        <v>5</v>
      </c>
      <c r="L155" s="165">
        <v>8</v>
      </c>
      <c r="M155" s="165">
        <v>1</v>
      </c>
      <c r="N155" s="165">
        <v>5</v>
      </c>
    </row>
    <row r="156" spans="1:14" ht="24" customHeight="1">
      <c r="A156" s="163">
        <v>4162</v>
      </c>
      <c r="B156" s="163" t="s">
        <v>504</v>
      </c>
      <c r="C156" s="165" t="s">
        <v>468</v>
      </c>
      <c r="D156" s="165" t="s">
        <v>469</v>
      </c>
      <c r="E156" s="165" t="s">
        <v>470</v>
      </c>
      <c r="F156" s="165">
        <v>3164035224</v>
      </c>
      <c r="G156" s="165">
        <v>20</v>
      </c>
      <c r="H156" s="169">
        <v>36526</v>
      </c>
      <c r="I156" s="165">
        <v>1</v>
      </c>
      <c r="J156" s="165">
        <v>0</v>
      </c>
      <c r="K156" s="165">
        <v>1</v>
      </c>
      <c r="L156" s="165">
        <v>4</v>
      </c>
      <c r="M156" s="165">
        <v>0</v>
      </c>
      <c r="N156" s="165">
        <v>3</v>
      </c>
    </row>
    <row r="157" spans="1:14" ht="24" customHeight="1">
      <c r="A157" s="162">
        <v>4162</v>
      </c>
      <c r="B157" s="162" t="s">
        <v>504</v>
      </c>
      <c r="C157" s="165" t="s">
        <v>472</v>
      </c>
      <c r="D157" s="165" t="s">
        <v>473</v>
      </c>
      <c r="E157" s="165" t="s">
        <v>474</v>
      </c>
      <c r="F157" s="165">
        <v>3206183477</v>
      </c>
      <c r="G157" s="165">
        <v>10</v>
      </c>
      <c r="H157" s="169">
        <v>42491</v>
      </c>
      <c r="I157" s="165">
        <v>0</v>
      </c>
      <c r="J157" s="165">
        <v>0</v>
      </c>
      <c r="K157" s="165" t="s">
        <v>808</v>
      </c>
      <c r="L157" s="165">
        <v>4</v>
      </c>
      <c r="M157" s="165">
        <v>0</v>
      </c>
      <c r="N157" s="165">
        <v>3</v>
      </c>
    </row>
    <row r="158" spans="1:14" ht="24" customHeight="1">
      <c r="A158" s="163">
        <v>4162</v>
      </c>
      <c r="B158" s="163" t="s">
        <v>504</v>
      </c>
      <c r="C158" s="165" t="s">
        <v>476</v>
      </c>
      <c r="D158" s="165" t="s">
        <v>477</v>
      </c>
      <c r="E158" s="165" t="s">
        <v>478</v>
      </c>
      <c r="F158" s="165">
        <v>3173192443</v>
      </c>
      <c r="G158" s="165">
        <v>10</v>
      </c>
      <c r="H158" s="169">
        <v>41699</v>
      </c>
      <c r="I158" s="165">
        <v>0</v>
      </c>
      <c r="J158" s="165">
        <v>3</v>
      </c>
      <c r="K158" s="165">
        <v>4</v>
      </c>
      <c r="L158" s="165">
        <v>4</v>
      </c>
      <c r="M158" s="165">
        <v>0</v>
      </c>
      <c r="N158" s="165">
        <v>3</v>
      </c>
    </row>
    <row r="159" spans="1:14" ht="24" customHeight="1">
      <c r="A159" s="162">
        <v>4162</v>
      </c>
      <c r="B159" s="162" t="s">
        <v>504</v>
      </c>
      <c r="C159" s="165" t="s">
        <v>480</v>
      </c>
      <c r="D159" s="165" t="s">
        <v>481</v>
      </c>
      <c r="E159" s="165" t="s">
        <v>482</v>
      </c>
      <c r="F159" s="165">
        <v>3043372931</v>
      </c>
      <c r="G159" s="165">
        <v>10</v>
      </c>
      <c r="H159" s="169">
        <v>42856</v>
      </c>
      <c r="I159" s="165">
        <v>0</v>
      </c>
      <c r="J159" s="165">
        <v>4</v>
      </c>
      <c r="K159" s="165">
        <v>5</v>
      </c>
      <c r="L159" s="165">
        <v>0</v>
      </c>
      <c r="M159" s="165">
        <v>0</v>
      </c>
      <c r="N159" s="165">
        <v>4</v>
      </c>
    </row>
    <row r="160" spans="1:14" ht="24" customHeight="1">
      <c r="A160" s="163">
        <v>4162</v>
      </c>
      <c r="B160" s="163" t="s">
        <v>504</v>
      </c>
      <c r="C160" s="165" t="s">
        <v>484</v>
      </c>
      <c r="D160" s="165" t="s">
        <v>485</v>
      </c>
      <c r="E160" s="165" t="s">
        <v>486</v>
      </c>
      <c r="F160" s="165">
        <v>3113919174</v>
      </c>
      <c r="G160" s="165">
        <v>20</v>
      </c>
      <c r="H160" s="169">
        <v>42491</v>
      </c>
      <c r="I160" s="165">
        <v>1</v>
      </c>
      <c r="J160" s="165">
        <v>0</v>
      </c>
      <c r="K160" s="165">
        <v>1</v>
      </c>
      <c r="L160" s="165">
        <v>0</v>
      </c>
      <c r="M160" s="165">
        <v>0</v>
      </c>
      <c r="N160" s="165">
        <v>3</v>
      </c>
    </row>
    <row r="161" spans="1:14" ht="24" customHeight="1">
      <c r="A161" s="162">
        <v>4162</v>
      </c>
      <c r="B161" s="162" t="s">
        <v>504</v>
      </c>
      <c r="C161" s="165" t="s">
        <v>488</v>
      </c>
      <c r="D161" s="165" t="s">
        <v>489</v>
      </c>
      <c r="E161" s="165" t="s">
        <v>490</v>
      </c>
      <c r="F161" s="165">
        <v>3023885039</v>
      </c>
      <c r="G161" s="165">
        <v>8</v>
      </c>
      <c r="H161" s="169">
        <v>42430</v>
      </c>
      <c r="I161" s="165">
        <v>0</v>
      </c>
      <c r="J161" s="165">
        <v>4</v>
      </c>
      <c r="K161" s="165">
        <v>5</v>
      </c>
      <c r="L161" s="165">
        <v>4</v>
      </c>
      <c r="M161" s="165">
        <v>0</v>
      </c>
      <c r="N161" s="165">
        <v>4</v>
      </c>
    </row>
    <row r="162" spans="1:14" ht="24" customHeight="1">
      <c r="A162" s="163">
        <v>4162</v>
      </c>
      <c r="B162" s="163" t="s">
        <v>504</v>
      </c>
      <c r="C162" s="165" t="s">
        <v>492</v>
      </c>
      <c r="D162" s="165" t="s">
        <v>493</v>
      </c>
      <c r="E162" s="165" t="s">
        <v>494</v>
      </c>
      <c r="F162" s="165">
        <v>3154150552</v>
      </c>
      <c r="G162" s="165">
        <v>10</v>
      </c>
      <c r="H162" s="169">
        <v>43191</v>
      </c>
      <c r="I162" s="165">
        <v>0</v>
      </c>
      <c r="J162" s="165">
        <v>4</v>
      </c>
      <c r="K162" s="165">
        <v>5</v>
      </c>
      <c r="L162" s="165">
        <v>0</v>
      </c>
      <c r="M162" s="165">
        <v>0</v>
      </c>
      <c r="N162" s="165">
        <v>4</v>
      </c>
    </row>
    <row r="163" spans="1:14" ht="24" customHeight="1">
      <c r="A163" s="162">
        <v>4162</v>
      </c>
      <c r="B163" s="162" t="s">
        <v>504</v>
      </c>
      <c r="C163" s="165" t="s">
        <v>495</v>
      </c>
      <c r="D163" s="165" t="s">
        <v>496</v>
      </c>
      <c r="E163" s="165" t="s">
        <v>497</v>
      </c>
      <c r="F163" s="165">
        <v>3174556565</v>
      </c>
      <c r="G163" s="165">
        <v>4</v>
      </c>
      <c r="H163" s="169">
        <v>45323</v>
      </c>
      <c r="I163" s="165">
        <v>0</v>
      </c>
      <c r="J163" s="165">
        <v>4</v>
      </c>
      <c r="K163" s="165">
        <v>5</v>
      </c>
      <c r="L163" s="165">
        <v>0</v>
      </c>
      <c r="M163" s="165">
        <v>0</v>
      </c>
      <c r="N163" s="165">
        <v>5</v>
      </c>
    </row>
    <row r="164" spans="1:14" ht="24" customHeight="1">
      <c r="A164" s="163">
        <v>4162</v>
      </c>
      <c r="B164" s="163" t="s">
        <v>504</v>
      </c>
      <c r="C164" s="165" t="s">
        <v>498</v>
      </c>
      <c r="D164" s="165" t="s">
        <v>499</v>
      </c>
      <c r="E164" s="165" t="s">
        <v>500</v>
      </c>
      <c r="F164" s="165">
        <v>3162582004</v>
      </c>
      <c r="G164" s="165">
        <v>10</v>
      </c>
      <c r="H164" s="169">
        <v>43891</v>
      </c>
      <c r="I164" s="165">
        <v>0</v>
      </c>
      <c r="J164" s="165">
        <v>3</v>
      </c>
      <c r="K164" s="165">
        <v>4</v>
      </c>
      <c r="L164" s="165">
        <v>0</v>
      </c>
      <c r="M164" s="165">
        <v>0</v>
      </c>
      <c r="N164" s="165">
        <v>3</v>
      </c>
    </row>
    <row r="165" spans="1:14" ht="24" customHeight="1">
      <c r="A165" s="162">
        <v>4162</v>
      </c>
      <c r="B165" s="162" t="s">
        <v>504</v>
      </c>
      <c r="C165" s="165" t="s">
        <v>501</v>
      </c>
      <c r="D165" s="165" t="s">
        <v>502</v>
      </c>
      <c r="E165" s="165" t="s">
        <v>503</v>
      </c>
      <c r="F165" s="165">
        <v>3137183647</v>
      </c>
      <c r="G165" s="165">
        <v>26</v>
      </c>
      <c r="H165" s="169">
        <v>43132</v>
      </c>
      <c r="I165" s="165">
        <v>1</v>
      </c>
      <c r="J165" s="165">
        <v>0</v>
      </c>
      <c r="K165" s="165">
        <v>1</v>
      </c>
      <c r="L165" s="165">
        <v>0</v>
      </c>
      <c r="M165" s="165">
        <v>0</v>
      </c>
      <c r="N165" s="165">
        <v>3</v>
      </c>
    </row>
    <row r="166" spans="1:14" ht="24" customHeight="1">
      <c r="A166" s="163">
        <v>4173</v>
      </c>
      <c r="B166" s="163" t="s">
        <v>511</v>
      </c>
      <c r="C166" s="165" t="s">
        <v>505</v>
      </c>
      <c r="D166" s="165" t="s">
        <v>506</v>
      </c>
      <c r="E166" s="165" t="s">
        <v>507</v>
      </c>
      <c r="F166" s="165">
        <v>3012768588</v>
      </c>
      <c r="G166" s="165">
        <v>15</v>
      </c>
      <c r="H166" s="169">
        <v>43132</v>
      </c>
      <c r="I166" s="165">
        <v>0</v>
      </c>
      <c r="J166" s="165">
        <v>2</v>
      </c>
      <c r="K166" s="165">
        <v>3</v>
      </c>
      <c r="L166" s="165">
        <v>2</v>
      </c>
      <c r="M166" s="165">
        <v>0</v>
      </c>
      <c r="N166" s="165">
        <v>2</v>
      </c>
    </row>
    <row r="167" spans="1:14" ht="24" customHeight="1">
      <c r="A167" s="162">
        <v>4173</v>
      </c>
      <c r="B167" s="162" t="s">
        <v>511</v>
      </c>
      <c r="C167" s="165" t="s">
        <v>508</v>
      </c>
      <c r="D167" s="165" t="s">
        <v>509</v>
      </c>
      <c r="E167" s="165" t="s">
        <v>510</v>
      </c>
      <c r="F167" s="165">
        <v>3215808018</v>
      </c>
      <c r="G167" s="165">
        <v>5</v>
      </c>
      <c r="H167" s="169">
        <v>45383</v>
      </c>
      <c r="I167" s="165">
        <v>0</v>
      </c>
      <c r="J167" s="165">
        <v>3</v>
      </c>
      <c r="K167" s="165">
        <v>4</v>
      </c>
      <c r="L167" s="165">
        <v>3</v>
      </c>
      <c r="M167" s="165">
        <v>0</v>
      </c>
      <c r="N167" s="165">
        <v>4</v>
      </c>
    </row>
    <row r="168" spans="1:14" ht="24" customHeight="1">
      <c r="A168" s="163">
        <v>4143</v>
      </c>
      <c r="B168" s="163" t="s">
        <v>526</v>
      </c>
      <c r="C168" s="165" t="s">
        <v>512</v>
      </c>
      <c r="D168" s="165" t="s">
        <v>513</v>
      </c>
      <c r="E168" s="165" t="s">
        <v>514</v>
      </c>
      <c r="F168" s="165"/>
      <c r="G168" s="165">
        <v>20</v>
      </c>
      <c r="H168" s="169">
        <v>43952</v>
      </c>
      <c r="I168" s="165">
        <v>4</v>
      </c>
      <c r="J168" s="165">
        <v>0</v>
      </c>
      <c r="K168" s="165">
        <v>1</v>
      </c>
      <c r="L168" s="165">
        <v>5</v>
      </c>
      <c r="M168" s="165">
        <v>0</v>
      </c>
      <c r="N168" s="165">
        <v>5</v>
      </c>
    </row>
    <row r="169" spans="1:14" ht="24" customHeight="1">
      <c r="A169" s="162">
        <v>4143</v>
      </c>
      <c r="B169" s="162" t="s">
        <v>526</v>
      </c>
      <c r="C169" s="165" t="s">
        <v>512</v>
      </c>
      <c r="D169" s="165" t="s">
        <v>515</v>
      </c>
      <c r="E169" s="165" t="s">
        <v>516</v>
      </c>
      <c r="F169" s="165">
        <v>3175916405</v>
      </c>
      <c r="G169" s="165">
        <v>6</v>
      </c>
      <c r="H169" s="169">
        <v>43952</v>
      </c>
      <c r="I169" s="165">
        <v>0</v>
      </c>
      <c r="J169" s="165">
        <v>3</v>
      </c>
      <c r="K169" s="165">
        <v>4</v>
      </c>
      <c r="L169" s="165">
        <v>4</v>
      </c>
      <c r="M169" s="165">
        <v>0</v>
      </c>
      <c r="N169" s="165">
        <v>5</v>
      </c>
    </row>
    <row r="170" spans="1:14" ht="24" customHeight="1">
      <c r="A170" s="163">
        <v>4143</v>
      </c>
      <c r="B170" s="163" t="s">
        <v>526</v>
      </c>
      <c r="C170" s="165" t="s">
        <v>512</v>
      </c>
      <c r="D170" s="165" t="s">
        <v>517</v>
      </c>
      <c r="E170" s="165" t="s">
        <v>518</v>
      </c>
      <c r="F170" s="165">
        <v>3116209443</v>
      </c>
      <c r="G170" s="165">
        <v>2</v>
      </c>
      <c r="H170" s="169">
        <v>45717</v>
      </c>
      <c r="I170" s="165">
        <v>0</v>
      </c>
      <c r="J170" s="165">
        <v>3</v>
      </c>
      <c r="K170" s="165">
        <v>4</v>
      </c>
      <c r="L170" s="165">
        <v>4</v>
      </c>
      <c r="M170" s="165">
        <v>0</v>
      </c>
      <c r="N170" s="165">
        <v>3</v>
      </c>
    </row>
    <row r="171" spans="1:14" ht="24" customHeight="1">
      <c r="A171" s="162">
        <v>4143</v>
      </c>
      <c r="B171" s="162" t="s">
        <v>526</v>
      </c>
      <c r="C171" s="165" t="s">
        <v>512</v>
      </c>
      <c r="D171" s="165" t="s">
        <v>519</v>
      </c>
      <c r="E171" s="165" t="s">
        <v>520</v>
      </c>
      <c r="F171" s="165">
        <v>3118531112</v>
      </c>
      <c r="G171" s="165">
        <v>3</v>
      </c>
      <c r="H171" s="169">
        <v>45566</v>
      </c>
      <c r="I171" s="165">
        <v>0</v>
      </c>
      <c r="J171" s="165">
        <v>3</v>
      </c>
      <c r="K171" s="165">
        <v>4</v>
      </c>
      <c r="L171" s="165">
        <v>4</v>
      </c>
      <c r="M171" s="165">
        <v>0</v>
      </c>
      <c r="N171" s="165">
        <v>3</v>
      </c>
    </row>
    <row r="172" spans="1:14" ht="24" customHeight="1">
      <c r="A172" s="163">
        <v>4143</v>
      </c>
      <c r="B172" s="163" t="s">
        <v>526</v>
      </c>
      <c r="C172" s="165" t="s">
        <v>512</v>
      </c>
      <c r="D172" s="165" t="s">
        <v>521</v>
      </c>
      <c r="E172" s="165"/>
      <c r="F172" s="165"/>
      <c r="G172" s="165"/>
      <c r="H172" s="169"/>
      <c r="I172" s="165">
        <v>0</v>
      </c>
      <c r="J172" s="165">
        <v>3</v>
      </c>
      <c r="K172" s="165">
        <v>4</v>
      </c>
      <c r="L172" s="165">
        <v>0</v>
      </c>
      <c r="M172" s="165">
        <v>0</v>
      </c>
      <c r="N172" s="165">
        <v>3</v>
      </c>
    </row>
    <row r="173" spans="1:14" ht="24" customHeight="1">
      <c r="A173" s="162">
        <v>4143</v>
      </c>
      <c r="B173" s="162" t="s">
        <v>526</v>
      </c>
      <c r="C173" s="165" t="s">
        <v>512</v>
      </c>
      <c r="D173" s="165" t="s">
        <v>522</v>
      </c>
      <c r="E173" s="165" t="s">
        <v>523</v>
      </c>
      <c r="F173" s="165">
        <v>3208905462</v>
      </c>
      <c r="G173" s="165">
        <v>20</v>
      </c>
      <c r="H173" s="169">
        <v>45839</v>
      </c>
      <c r="I173" s="165">
        <v>0</v>
      </c>
      <c r="J173" s="165">
        <v>3</v>
      </c>
      <c r="K173" s="165">
        <v>4</v>
      </c>
      <c r="L173" s="165">
        <v>4</v>
      </c>
      <c r="M173" s="165">
        <v>0</v>
      </c>
      <c r="N173" s="165">
        <v>5</v>
      </c>
    </row>
    <row r="174" spans="1:14" ht="24" customHeight="1">
      <c r="A174" s="163">
        <v>4143</v>
      </c>
      <c r="B174" s="163" t="s">
        <v>526</v>
      </c>
      <c r="C174" s="165" t="s">
        <v>512</v>
      </c>
      <c r="D174" s="165" t="s">
        <v>524</v>
      </c>
      <c r="E174" s="165" t="s">
        <v>525</v>
      </c>
      <c r="F174" s="165">
        <v>3188314439</v>
      </c>
      <c r="G174" s="165">
        <v>2</v>
      </c>
      <c r="H174" s="169">
        <v>45444</v>
      </c>
      <c r="I174" s="165">
        <v>0</v>
      </c>
      <c r="J174" s="165">
        <v>3</v>
      </c>
      <c r="K174" s="165">
        <v>4</v>
      </c>
      <c r="L174" s="165">
        <v>5</v>
      </c>
      <c r="M174" s="165">
        <v>0</v>
      </c>
      <c r="N174" s="165">
        <v>3</v>
      </c>
    </row>
    <row r="175" spans="1:14" ht="24" customHeight="1">
      <c r="A175" s="162">
        <v>4112</v>
      </c>
      <c r="B175" s="162" t="s">
        <v>530</v>
      </c>
      <c r="C175" s="165" t="s">
        <v>527</v>
      </c>
      <c r="D175" s="165" t="s">
        <v>528</v>
      </c>
      <c r="E175" s="165" t="s">
        <v>529</v>
      </c>
      <c r="F175" s="165"/>
      <c r="G175" s="165"/>
      <c r="H175" s="169">
        <v>45658</v>
      </c>
      <c r="I175" s="165">
        <v>1</v>
      </c>
      <c r="J175" s="165">
        <v>0</v>
      </c>
      <c r="K175" s="165">
        <v>1</v>
      </c>
      <c r="L175" s="165">
        <v>1</v>
      </c>
      <c r="M175" s="165">
        <v>0</v>
      </c>
      <c r="N175" s="165">
        <v>5</v>
      </c>
    </row>
    <row r="176" spans="1:14" ht="24" customHeight="1">
      <c r="A176" s="163">
        <v>4151</v>
      </c>
      <c r="B176" s="163" t="s">
        <v>547</v>
      </c>
      <c r="C176" s="165" t="s">
        <v>531</v>
      </c>
      <c r="D176" s="165" t="s">
        <v>532</v>
      </c>
      <c r="E176" s="165" t="s">
        <v>533</v>
      </c>
      <c r="F176" s="165">
        <v>3164035543</v>
      </c>
      <c r="G176" s="165">
        <v>10</v>
      </c>
      <c r="H176" s="169">
        <v>44927</v>
      </c>
      <c r="I176" s="165">
        <v>4</v>
      </c>
      <c r="J176" s="165">
        <v>0</v>
      </c>
      <c r="K176" s="165">
        <v>1</v>
      </c>
      <c r="L176" s="165">
        <v>1</v>
      </c>
      <c r="M176" s="165">
        <v>0</v>
      </c>
      <c r="N176" s="165">
        <v>4</v>
      </c>
    </row>
    <row r="177" spans="1:14" ht="24" customHeight="1">
      <c r="A177" s="162">
        <v>4151</v>
      </c>
      <c r="B177" s="162" t="s">
        <v>547</v>
      </c>
      <c r="C177" s="165" t="s">
        <v>534</v>
      </c>
      <c r="D177" s="165" t="s">
        <v>535</v>
      </c>
      <c r="E177" s="165" t="s">
        <v>536</v>
      </c>
      <c r="F177" s="165">
        <v>3175515296</v>
      </c>
      <c r="G177" s="165">
        <v>8</v>
      </c>
      <c r="H177" s="169">
        <v>45292</v>
      </c>
      <c r="I177" s="165">
        <v>0</v>
      </c>
      <c r="J177" s="165">
        <v>4</v>
      </c>
      <c r="K177" s="165">
        <v>5</v>
      </c>
      <c r="L177" s="165">
        <v>1</v>
      </c>
      <c r="M177" s="165">
        <v>1</v>
      </c>
      <c r="N177" s="165">
        <v>3</v>
      </c>
    </row>
    <row r="178" spans="1:14" ht="24" customHeight="1">
      <c r="A178" s="163">
        <v>4151</v>
      </c>
      <c r="B178" s="163" t="s">
        <v>547</v>
      </c>
      <c r="C178" s="165" t="s">
        <v>537</v>
      </c>
      <c r="D178" s="165" t="s">
        <v>538</v>
      </c>
      <c r="E178" s="165" t="s">
        <v>539</v>
      </c>
      <c r="F178" s="165">
        <v>3145019134</v>
      </c>
      <c r="G178" s="165">
        <v>10</v>
      </c>
      <c r="H178" s="169">
        <v>43831</v>
      </c>
      <c r="I178" s="165">
        <v>0</v>
      </c>
      <c r="J178" s="165">
        <v>3</v>
      </c>
      <c r="K178" s="165">
        <v>4</v>
      </c>
      <c r="L178" s="165">
        <v>1</v>
      </c>
      <c r="M178" s="165">
        <v>1</v>
      </c>
      <c r="N178" s="165">
        <v>4</v>
      </c>
    </row>
    <row r="179" spans="1:14" ht="24" customHeight="1">
      <c r="A179" s="162">
        <v>4151</v>
      </c>
      <c r="B179" s="162" t="s">
        <v>547</v>
      </c>
      <c r="C179" s="165" t="s">
        <v>540</v>
      </c>
      <c r="D179" s="165" t="s">
        <v>541</v>
      </c>
      <c r="E179" s="165" t="s">
        <v>542</v>
      </c>
      <c r="F179" s="165">
        <v>3023399037</v>
      </c>
      <c r="G179" s="165">
        <v>8</v>
      </c>
      <c r="H179" s="169">
        <v>45292</v>
      </c>
      <c r="I179" s="165">
        <v>0</v>
      </c>
      <c r="J179" s="165">
        <v>4</v>
      </c>
      <c r="K179" s="165">
        <v>5</v>
      </c>
      <c r="L179" s="165">
        <v>1</v>
      </c>
      <c r="M179" s="165">
        <v>1</v>
      </c>
      <c r="N179" s="165">
        <v>5</v>
      </c>
    </row>
    <row r="180" spans="1:14" ht="24" customHeight="1">
      <c r="A180" s="163">
        <v>4151</v>
      </c>
      <c r="B180" s="163" t="s">
        <v>547</v>
      </c>
      <c r="C180" s="165" t="s">
        <v>537</v>
      </c>
      <c r="D180" s="165" t="s">
        <v>543</v>
      </c>
      <c r="E180" s="165" t="s">
        <v>544</v>
      </c>
      <c r="F180" s="165">
        <v>3113311370</v>
      </c>
      <c r="G180" s="165">
        <v>2</v>
      </c>
      <c r="H180" s="169">
        <v>43831</v>
      </c>
      <c r="I180" s="165">
        <v>0</v>
      </c>
      <c r="J180" s="165">
        <v>3</v>
      </c>
      <c r="K180" s="165">
        <v>4</v>
      </c>
      <c r="L180" s="165">
        <v>1</v>
      </c>
      <c r="M180" s="165">
        <v>0</v>
      </c>
      <c r="N180" s="165">
        <v>3</v>
      </c>
    </row>
    <row r="181" spans="1:14" ht="24" customHeight="1">
      <c r="A181" s="162">
        <v>4151</v>
      </c>
      <c r="B181" s="162" t="s">
        <v>547</v>
      </c>
      <c r="C181" s="165" t="s">
        <v>540</v>
      </c>
      <c r="D181" s="165" t="s">
        <v>545</v>
      </c>
      <c r="E181" s="165" t="s">
        <v>546</v>
      </c>
      <c r="F181" s="165">
        <v>3004175645</v>
      </c>
      <c r="G181" s="165">
        <v>5</v>
      </c>
      <c r="H181" s="169">
        <v>45292</v>
      </c>
      <c r="I181" s="165">
        <v>0</v>
      </c>
      <c r="J181" s="165">
        <v>4</v>
      </c>
      <c r="K181" s="165">
        <v>5</v>
      </c>
      <c r="L181" s="165">
        <v>3</v>
      </c>
      <c r="M181" s="165">
        <v>1</v>
      </c>
      <c r="N181" s="165">
        <v>5</v>
      </c>
    </row>
    <row r="182" spans="1:14" ht="24" customHeight="1">
      <c r="A182" s="163">
        <v>4152</v>
      </c>
      <c r="B182" s="163" t="s">
        <v>566</v>
      </c>
      <c r="C182" s="165" t="s">
        <v>548</v>
      </c>
      <c r="D182" s="165" t="s">
        <v>549</v>
      </c>
      <c r="E182" s="165" t="s">
        <v>550</v>
      </c>
      <c r="F182" s="165">
        <v>3127806387</v>
      </c>
      <c r="G182" s="165">
        <v>40</v>
      </c>
      <c r="H182" s="169">
        <v>45689</v>
      </c>
      <c r="I182" s="165">
        <v>0</v>
      </c>
      <c r="J182" s="165">
        <v>4</v>
      </c>
      <c r="K182" s="165">
        <v>5</v>
      </c>
      <c r="L182" s="165">
        <v>1</v>
      </c>
      <c r="M182" s="165">
        <v>0</v>
      </c>
      <c r="N182" s="165">
        <v>4</v>
      </c>
    </row>
    <row r="183" spans="1:14" ht="24" customHeight="1">
      <c r="A183" s="162">
        <v>4152</v>
      </c>
      <c r="B183" s="162" t="s">
        <v>566</v>
      </c>
      <c r="C183" s="165" t="s">
        <v>551</v>
      </c>
      <c r="D183" s="165" t="s">
        <v>552</v>
      </c>
      <c r="E183" s="165" t="s">
        <v>553</v>
      </c>
      <c r="F183" s="165">
        <v>3177451936</v>
      </c>
      <c r="G183" s="165">
        <v>3</v>
      </c>
      <c r="H183" s="169">
        <v>45352</v>
      </c>
      <c r="I183" s="165">
        <v>0</v>
      </c>
      <c r="J183" s="165">
        <v>3</v>
      </c>
      <c r="K183" s="165">
        <v>4</v>
      </c>
      <c r="L183" s="165">
        <v>4</v>
      </c>
      <c r="M183" s="165">
        <v>1</v>
      </c>
      <c r="N183" s="165">
        <v>3</v>
      </c>
    </row>
    <row r="184" spans="1:14" ht="24" customHeight="1">
      <c r="A184" s="163">
        <v>4152</v>
      </c>
      <c r="B184" s="163" t="s">
        <v>566</v>
      </c>
      <c r="C184" s="165" t="s">
        <v>551</v>
      </c>
      <c r="D184" s="165" t="s">
        <v>554</v>
      </c>
      <c r="E184" s="165" t="s">
        <v>555</v>
      </c>
      <c r="F184" s="165">
        <v>3218498296</v>
      </c>
      <c r="G184" s="165">
        <v>7</v>
      </c>
      <c r="H184" s="169">
        <v>45323</v>
      </c>
      <c r="I184" s="165">
        <v>0</v>
      </c>
      <c r="J184" s="165">
        <v>3</v>
      </c>
      <c r="K184" s="165">
        <v>4</v>
      </c>
      <c r="L184" s="165">
        <v>3</v>
      </c>
      <c r="M184" s="165">
        <v>1</v>
      </c>
      <c r="N184" s="165">
        <v>5</v>
      </c>
    </row>
    <row r="185" spans="1:14" ht="24" customHeight="1">
      <c r="A185" s="162">
        <v>4152</v>
      </c>
      <c r="B185" s="162" t="s">
        <v>566</v>
      </c>
      <c r="C185" s="165" t="s">
        <v>551</v>
      </c>
      <c r="D185" s="165" t="s">
        <v>556</v>
      </c>
      <c r="E185" s="165" t="s">
        <v>557</v>
      </c>
      <c r="F185" s="165">
        <v>3216368306</v>
      </c>
      <c r="G185" s="165">
        <v>18</v>
      </c>
      <c r="H185" s="169">
        <v>45658</v>
      </c>
      <c r="I185" s="165">
        <v>0</v>
      </c>
      <c r="J185" s="165">
        <v>3</v>
      </c>
      <c r="K185" s="165">
        <v>4</v>
      </c>
      <c r="L185" s="165">
        <v>4</v>
      </c>
      <c r="M185" s="165">
        <v>1</v>
      </c>
      <c r="N185" s="165">
        <v>4</v>
      </c>
    </row>
    <row r="186" spans="1:14" ht="24" customHeight="1">
      <c r="A186" s="163">
        <v>4152</v>
      </c>
      <c r="B186" s="163" t="s">
        <v>566</v>
      </c>
      <c r="C186" s="165" t="s">
        <v>551</v>
      </c>
      <c r="D186" s="165" t="s">
        <v>558</v>
      </c>
      <c r="E186" s="165" t="s">
        <v>559</v>
      </c>
      <c r="F186" s="165">
        <v>3185217039</v>
      </c>
      <c r="G186" s="165">
        <v>12</v>
      </c>
      <c r="H186" s="169">
        <v>42370</v>
      </c>
      <c r="I186" s="165">
        <v>0</v>
      </c>
      <c r="J186" s="165">
        <v>4</v>
      </c>
      <c r="K186" s="165">
        <v>5</v>
      </c>
      <c r="L186" s="165">
        <v>4</v>
      </c>
      <c r="M186" s="165">
        <v>1</v>
      </c>
      <c r="N186" s="165">
        <v>5</v>
      </c>
    </row>
    <row r="187" spans="1:14" ht="24" customHeight="1">
      <c r="A187" s="162">
        <v>4152</v>
      </c>
      <c r="B187" s="162" t="s">
        <v>566</v>
      </c>
      <c r="C187" s="165" t="s">
        <v>551</v>
      </c>
      <c r="D187" s="165" t="s">
        <v>560</v>
      </c>
      <c r="E187" s="165" t="s">
        <v>561</v>
      </c>
      <c r="F187" s="165">
        <v>3103581405</v>
      </c>
      <c r="G187" s="165">
        <v>8</v>
      </c>
      <c r="H187" s="169">
        <v>45689</v>
      </c>
      <c r="I187" s="165">
        <v>2</v>
      </c>
      <c r="J187" s="165">
        <v>0</v>
      </c>
      <c r="K187" s="165">
        <v>1</v>
      </c>
      <c r="L187" s="165">
        <v>3</v>
      </c>
      <c r="M187" s="165">
        <v>0</v>
      </c>
      <c r="N187" s="165">
        <v>2</v>
      </c>
    </row>
    <row r="188" spans="1:14" ht="24" customHeight="1">
      <c r="A188" s="163">
        <v>4152</v>
      </c>
      <c r="B188" s="163" t="s">
        <v>566</v>
      </c>
      <c r="C188" s="165" t="s">
        <v>551</v>
      </c>
      <c r="D188" s="165" t="s">
        <v>562</v>
      </c>
      <c r="E188" s="165" t="s">
        <v>563</v>
      </c>
      <c r="F188" s="165">
        <v>3227498240</v>
      </c>
      <c r="G188" s="165">
        <v>2</v>
      </c>
      <c r="H188" s="169">
        <v>45536</v>
      </c>
      <c r="I188" s="165">
        <v>0</v>
      </c>
      <c r="J188" s="165">
        <v>3</v>
      </c>
      <c r="K188" s="165">
        <v>4</v>
      </c>
      <c r="L188" s="165">
        <v>3</v>
      </c>
      <c r="M188" s="165">
        <v>0</v>
      </c>
      <c r="N188" s="165">
        <v>3</v>
      </c>
    </row>
    <row r="189" spans="1:14" ht="24" customHeight="1">
      <c r="A189" s="162">
        <v>4152</v>
      </c>
      <c r="B189" s="162" t="s">
        <v>566</v>
      </c>
      <c r="C189" s="165" t="s">
        <v>551</v>
      </c>
      <c r="D189" s="165" t="s">
        <v>564</v>
      </c>
      <c r="E189" s="165" t="s">
        <v>565</v>
      </c>
      <c r="F189" s="165">
        <v>3122303797</v>
      </c>
      <c r="G189" s="165">
        <v>15</v>
      </c>
      <c r="H189" s="169">
        <v>45809</v>
      </c>
      <c r="I189" s="165">
        <v>0</v>
      </c>
      <c r="J189" s="165">
        <v>2</v>
      </c>
      <c r="K189" s="165">
        <v>3</v>
      </c>
      <c r="L189" s="165">
        <v>3</v>
      </c>
      <c r="M189" s="165">
        <v>0</v>
      </c>
      <c r="N189" s="165">
        <v>2</v>
      </c>
    </row>
    <row r="190" spans="1:14" ht="24" customHeight="1">
      <c r="A190" s="163">
        <v>4164</v>
      </c>
      <c r="B190" s="163" t="s">
        <v>567</v>
      </c>
      <c r="C190" s="165" t="s">
        <v>339</v>
      </c>
      <c r="D190" s="165" t="s">
        <v>568</v>
      </c>
      <c r="E190" s="165" t="s">
        <v>569</v>
      </c>
      <c r="F190" s="165">
        <v>3330389389</v>
      </c>
      <c r="G190" s="165">
        <v>5</v>
      </c>
      <c r="H190" s="169">
        <v>43831</v>
      </c>
      <c r="I190" s="165">
        <v>4</v>
      </c>
      <c r="J190" s="165">
        <v>0</v>
      </c>
      <c r="K190" s="165">
        <v>1</v>
      </c>
      <c r="L190" s="165">
        <v>6</v>
      </c>
      <c r="M190" s="165">
        <v>0</v>
      </c>
      <c r="N190" s="165">
        <v>5</v>
      </c>
    </row>
    <row r="191" spans="1:14" ht="24" customHeight="1">
      <c r="A191" s="162">
        <v>4164</v>
      </c>
      <c r="B191" s="162" t="s">
        <v>567</v>
      </c>
      <c r="C191" s="165" t="s">
        <v>339</v>
      </c>
      <c r="D191" s="165" t="s">
        <v>570</v>
      </c>
      <c r="E191" s="165" t="s">
        <v>571</v>
      </c>
      <c r="F191" s="165">
        <v>3146877840</v>
      </c>
      <c r="G191" s="165">
        <v>10</v>
      </c>
      <c r="H191" s="169">
        <v>45658</v>
      </c>
      <c r="I191" s="165">
        <v>0</v>
      </c>
      <c r="J191" s="165">
        <v>3</v>
      </c>
      <c r="K191" s="165">
        <v>4</v>
      </c>
      <c r="L191" s="165">
        <v>5</v>
      </c>
      <c r="M191" s="165">
        <v>0</v>
      </c>
      <c r="N191" s="165">
        <v>5</v>
      </c>
    </row>
    <row r="192" spans="1:14" ht="24" customHeight="1">
      <c r="A192" s="163">
        <v>4164</v>
      </c>
      <c r="B192" s="163" t="s">
        <v>567</v>
      </c>
      <c r="C192" s="165" t="s">
        <v>339</v>
      </c>
      <c r="D192" s="165" t="s">
        <v>572</v>
      </c>
      <c r="E192" s="165" t="s">
        <v>573</v>
      </c>
      <c r="F192" s="165">
        <v>3137263124</v>
      </c>
      <c r="G192" s="165">
        <v>20</v>
      </c>
      <c r="H192" s="169">
        <v>45383</v>
      </c>
      <c r="I192" s="165">
        <v>0</v>
      </c>
      <c r="J192" s="165">
        <v>3</v>
      </c>
      <c r="K192" s="165">
        <v>4</v>
      </c>
      <c r="L192" s="165">
        <v>5</v>
      </c>
      <c r="M192" s="165">
        <v>0</v>
      </c>
      <c r="N192" s="165">
        <v>3</v>
      </c>
    </row>
    <row r="193" spans="1:14" ht="24" customHeight="1">
      <c r="A193" s="162">
        <v>4164</v>
      </c>
      <c r="B193" s="162" t="s">
        <v>567</v>
      </c>
      <c r="C193" s="165" t="s">
        <v>574</v>
      </c>
      <c r="D193" s="165" t="s">
        <v>575</v>
      </c>
      <c r="E193" s="165" t="s">
        <v>576</v>
      </c>
      <c r="F193" s="165">
        <v>3167241963</v>
      </c>
      <c r="G193" s="165">
        <v>8</v>
      </c>
      <c r="H193" s="169">
        <v>45323</v>
      </c>
      <c r="I193" s="165">
        <v>0</v>
      </c>
      <c r="J193" s="165">
        <v>4</v>
      </c>
      <c r="K193" s="165">
        <v>5</v>
      </c>
      <c r="L193" s="165">
        <v>8</v>
      </c>
      <c r="M193" s="165">
        <v>1</v>
      </c>
      <c r="N193" s="165">
        <v>5</v>
      </c>
    </row>
    <row r="194" spans="1:14" ht="24" customHeight="1">
      <c r="A194" s="163">
        <v>4164</v>
      </c>
      <c r="B194" s="163" t="s">
        <v>567</v>
      </c>
      <c r="C194" s="165" t="s">
        <v>574</v>
      </c>
      <c r="D194" s="165" t="s">
        <v>577</v>
      </c>
      <c r="E194" s="165" t="s">
        <v>578</v>
      </c>
      <c r="F194" s="165">
        <v>3148162588</v>
      </c>
      <c r="G194" s="165">
        <v>8</v>
      </c>
      <c r="H194" s="169">
        <v>45444</v>
      </c>
      <c r="I194" s="165">
        <v>0</v>
      </c>
      <c r="J194" s="165">
        <v>3</v>
      </c>
      <c r="K194" s="165">
        <v>4</v>
      </c>
      <c r="L194" s="165">
        <v>5</v>
      </c>
      <c r="M194" s="165">
        <v>1</v>
      </c>
      <c r="N194" s="165">
        <v>3</v>
      </c>
    </row>
    <row r="195" spans="1:14" ht="24" customHeight="1">
      <c r="A195" s="162">
        <v>4164</v>
      </c>
      <c r="B195" s="162" t="s">
        <v>567</v>
      </c>
      <c r="C195" s="165" t="s">
        <v>574</v>
      </c>
      <c r="D195" s="165" t="s">
        <v>579</v>
      </c>
      <c r="E195" s="165" t="s">
        <v>580</v>
      </c>
      <c r="F195" s="165">
        <v>3005008538</v>
      </c>
      <c r="G195" s="165">
        <v>27</v>
      </c>
      <c r="H195" s="169">
        <v>45383</v>
      </c>
      <c r="I195" s="165">
        <v>0</v>
      </c>
      <c r="J195" s="165">
        <v>3</v>
      </c>
      <c r="K195" s="165">
        <v>4</v>
      </c>
      <c r="L195" s="165">
        <v>6</v>
      </c>
      <c r="M195" s="165">
        <v>1</v>
      </c>
      <c r="N195" s="165">
        <v>5</v>
      </c>
    </row>
    <row r="196" spans="1:14" ht="24" customHeight="1">
      <c r="A196" s="163">
        <v>4164</v>
      </c>
      <c r="B196" s="163" t="s">
        <v>567</v>
      </c>
      <c r="C196" s="165" t="s">
        <v>574</v>
      </c>
      <c r="D196" s="165" t="s">
        <v>581</v>
      </c>
      <c r="E196" s="165" t="s">
        <v>582</v>
      </c>
      <c r="F196" s="165">
        <v>3027519023</v>
      </c>
      <c r="G196" s="165">
        <v>9</v>
      </c>
      <c r="H196" s="169">
        <v>45778</v>
      </c>
      <c r="I196" s="165">
        <v>0</v>
      </c>
      <c r="J196" s="165">
        <v>1</v>
      </c>
      <c r="K196" s="165">
        <v>2</v>
      </c>
      <c r="L196" s="165">
        <v>1</v>
      </c>
      <c r="M196" s="165">
        <v>1</v>
      </c>
      <c r="N196" s="165">
        <v>2</v>
      </c>
    </row>
    <row r="197" spans="1:14" ht="24" customHeight="1">
      <c r="A197" s="162">
        <v>4164</v>
      </c>
      <c r="B197" s="162" t="s">
        <v>567</v>
      </c>
      <c r="C197" s="165" t="s">
        <v>583</v>
      </c>
      <c r="D197" s="165" t="s">
        <v>584</v>
      </c>
      <c r="E197" s="165">
        <v>3012266871</v>
      </c>
      <c r="F197" s="165">
        <v>6</v>
      </c>
      <c r="G197" s="165">
        <v>45413</v>
      </c>
      <c r="H197" s="169"/>
      <c r="I197" s="165">
        <v>0</v>
      </c>
      <c r="J197" s="165">
        <v>2</v>
      </c>
      <c r="K197" s="165">
        <v>3</v>
      </c>
      <c r="L197" s="165">
        <v>2</v>
      </c>
      <c r="M197" s="165">
        <v>0</v>
      </c>
      <c r="N197" s="165">
        <v>2</v>
      </c>
    </row>
    <row r="198" spans="1:14" ht="24" customHeight="1">
      <c r="A198" s="163">
        <v>4164</v>
      </c>
      <c r="B198" s="163" t="s">
        <v>567</v>
      </c>
      <c r="C198" s="165" t="s">
        <v>585</v>
      </c>
      <c r="D198" s="165" t="s">
        <v>586</v>
      </c>
      <c r="E198" s="165">
        <v>3174357055</v>
      </c>
      <c r="F198" s="165">
        <v>4</v>
      </c>
      <c r="G198" s="165">
        <v>44409</v>
      </c>
      <c r="H198" s="169"/>
      <c r="I198" s="165">
        <v>0</v>
      </c>
      <c r="J198" s="165">
        <v>3</v>
      </c>
      <c r="K198" s="165">
        <v>4</v>
      </c>
      <c r="L198" s="165">
        <v>3</v>
      </c>
      <c r="M198" s="165">
        <v>0</v>
      </c>
      <c r="N198" s="165">
        <v>4</v>
      </c>
    </row>
    <row r="199" spans="1:14" ht="24" customHeight="1">
      <c r="A199" s="162">
        <v>4164</v>
      </c>
      <c r="B199" s="162" t="s">
        <v>567</v>
      </c>
      <c r="C199" s="165" t="s">
        <v>585</v>
      </c>
      <c r="D199" s="165" t="s">
        <v>587</v>
      </c>
      <c r="E199" s="165">
        <v>3113187585</v>
      </c>
      <c r="F199" s="165">
        <v>8</v>
      </c>
      <c r="G199" s="165">
        <v>45323</v>
      </c>
      <c r="H199" s="169"/>
      <c r="I199" s="165">
        <v>0</v>
      </c>
      <c r="J199" s="165">
        <v>2</v>
      </c>
      <c r="K199" s="165">
        <v>3</v>
      </c>
      <c r="L199" s="165">
        <v>1</v>
      </c>
      <c r="M199" s="165">
        <v>0</v>
      </c>
      <c r="N199" s="165">
        <v>3</v>
      </c>
    </row>
    <row r="200" spans="1:14" ht="24" customHeight="1">
      <c r="A200" s="163">
        <v>4164</v>
      </c>
      <c r="B200" s="163" t="s">
        <v>567</v>
      </c>
      <c r="C200" s="165" t="s">
        <v>585</v>
      </c>
      <c r="D200" s="165" t="s">
        <v>588</v>
      </c>
      <c r="E200" s="165">
        <v>3106334581</v>
      </c>
      <c r="F200" s="165">
        <v>5</v>
      </c>
      <c r="G200" s="165">
        <v>45292</v>
      </c>
      <c r="H200" s="169"/>
      <c r="I200" s="165">
        <v>0</v>
      </c>
      <c r="J200" s="165">
        <v>0</v>
      </c>
      <c r="K200" s="165" t="s">
        <v>808</v>
      </c>
      <c r="L200" s="165">
        <v>1</v>
      </c>
      <c r="M200" s="165">
        <v>0</v>
      </c>
      <c r="N200" s="165">
        <v>4</v>
      </c>
    </row>
    <row r="201" spans="1:14" ht="24" customHeight="1">
      <c r="A201" s="162">
        <v>4164</v>
      </c>
      <c r="B201" s="162" t="s">
        <v>567</v>
      </c>
      <c r="C201" s="165" t="s">
        <v>585</v>
      </c>
      <c r="D201" s="165" t="s">
        <v>589</v>
      </c>
      <c r="E201" s="165">
        <v>3217094086</v>
      </c>
      <c r="F201" s="165">
        <v>8</v>
      </c>
      <c r="G201" s="165">
        <v>45292</v>
      </c>
      <c r="H201" s="169"/>
      <c r="I201" s="165">
        <v>0</v>
      </c>
      <c r="J201" s="165">
        <v>0</v>
      </c>
      <c r="K201" s="165" t="s">
        <v>808</v>
      </c>
      <c r="L201" s="165">
        <v>1</v>
      </c>
      <c r="M201" s="165">
        <v>0</v>
      </c>
      <c r="N201" s="165">
        <v>4</v>
      </c>
    </row>
    <row r="202" spans="1:14" ht="24" customHeight="1">
      <c r="A202" s="163">
        <v>4164</v>
      </c>
      <c r="B202" s="163" t="s">
        <v>567</v>
      </c>
      <c r="C202" s="165" t="s">
        <v>590</v>
      </c>
      <c r="D202" s="165" t="s">
        <v>591</v>
      </c>
      <c r="E202" s="165">
        <v>3012266871</v>
      </c>
      <c r="F202" s="165">
        <v>10</v>
      </c>
      <c r="G202" s="165">
        <v>45413</v>
      </c>
      <c r="H202" s="169"/>
      <c r="I202" s="165">
        <v>0</v>
      </c>
      <c r="J202" s="165">
        <v>3</v>
      </c>
      <c r="K202" s="165">
        <v>4</v>
      </c>
      <c r="L202" s="165">
        <v>1</v>
      </c>
      <c r="M202" s="165">
        <v>0</v>
      </c>
      <c r="N202" s="165">
        <v>4</v>
      </c>
    </row>
    <row r="203" spans="1:14" ht="24" customHeight="1">
      <c r="A203" s="162">
        <v>4161</v>
      </c>
      <c r="B203" s="162" t="s">
        <v>627</v>
      </c>
      <c r="C203" s="165" t="s">
        <v>592</v>
      </c>
      <c r="D203" s="165" t="s">
        <v>593</v>
      </c>
      <c r="E203" s="165" t="s">
        <v>594</v>
      </c>
      <c r="F203" s="165">
        <v>3508136668</v>
      </c>
      <c r="G203" s="165">
        <v>20</v>
      </c>
      <c r="H203" s="169">
        <v>45748</v>
      </c>
      <c r="I203" s="165">
        <v>0</v>
      </c>
      <c r="J203" s="165">
        <v>4</v>
      </c>
      <c r="K203" s="165">
        <v>5</v>
      </c>
      <c r="L203" s="165">
        <v>4</v>
      </c>
      <c r="M203" s="165">
        <v>1</v>
      </c>
      <c r="N203" s="165">
        <v>5</v>
      </c>
    </row>
    <row r="204" spans="1:14" ht="24" customHeight="1">
      <c r="A204" s="163">
        <v>4161</v>
      </c>
      <c r="B204" s="163" t="s">
        <v>627</v>
      </c>
      <c r="C204" s="165" t="s">
        <v>592</v>
      </c>
      <c r="D204" s="165" t="s">
        <v>595</v>
      </c>
      <c r="E204" s="165" t="s">
        <v>596</v>
      </c>
      <c r="F204" s="165">
        <v>3104287190</v>
      </c>
      <c r="G204" s="165">
        <v>40</v>
      </c>
      <c r="H204" s="169">
        <v>45748</v>
      </c>
      <c r="I204" s="165">
        <v>0</v>
      </c>
      <c r="J204" s="165">
        <v>4</v>
      </c>
      <c r="K204" s="165">
        <v>5</v>
      </c>
      <c r="L204" s="165">
        <v>3</v>
      </c>
      <c r="M204" s="165">
        <v>1</v>
      </c>
      <c r="N204" s="165">
        <v>3</v>
      </c>
    </row>
    <row r="205" spans="1:14" ht="24" customHeight="1">
      <c r="A205" s="162">
        <v>4161</v>
      </c>
      <c r="B205" s="162" t="s">
        <v>627</v>
      </c>
      <c r="C205" s="165" t="s">
        <v>592</v>
      </c>
      <c r="D205" s="165" t="s">
        <v>597</v>
      </c>
      <c r="E205" s="165" t="s">
        <v>598</v>
      </c>
      <c r="F205" s="165">
        <v>3187918567</v>
      </c>
      <c r="G205" s="165">
        <v>12</v>
      </c>
      <c r="H205" s="169">
        <v>45809</v>
      </c>
      <c r="I205" s="165">
        <v>0</v>
      </c>
      <c r="J205" s="165">
        <v>4</v>
      </c>
      <c r="K205" s="165">
        <v>5</v>
      </c>
      <c r="L205" s="165">
        <v>3</v>
      </c>
      <c r="M205" s="165">
        <v>1</v>
      </c>
      <c r="N205" s="165">
        <v>3</v>
      </c>
    </row>
    <row r="206" spans="1:14" ht="24" customHeight="1">
      <c r="A206" s="163">
        <v>4161</v>
      </c>
      <c r="B206" s="163" t="s">
        <v>627</v>
      </c>
      <c r="C206" s="165" t="s">
        <v>592</v>
      </c>
      <c r="D206" s="165" t="s">
        <v>599</v>
      </c>
      <c r="E206" s="165" t="s">
        <v>600</v>
      </c>
      <c r="F206" s="165">
        <v>3164462247</v>
      </c>
      <c r="G206" s="165">
        <v>7</v>
      </c>
      <c r="H206" s="169">
        <v>45689</v>
      </c>
      <c r="I206" s="165">
        <v>0</v>
      </c>
      <c r="J206" s="165">
        <v>4</v>
      </c>
      <c r="K206" s="165">
        <v>5</v>
      </c>
      <c r="L206" s="165">
        <v>8</v>
      </c>
      <c r="M206" s="165">
        <v>1</v>
      </c>
      <c r="N206" s="165">
        <v>4</v>
      </c>
    </row>
    <row r="207" spans="1:14" ht="24" customHeight="1">
      <c r="A207" s="162">
        <v>4161</v>
      </c>
      <c r="B207" s="162" t="s">
        <v>627</v>
      </c>
      <c r="C207" s="165" t="s">
        <v>592</v>
      </c>
      <c r="D207" s="165" t="s">
        <v>601</v>
      </c>
      <c r="E207" s="165" t="s">
        <v>602</v>
      </c>
      <c r="F207" s="165">
        <v>3104494799</v>
      </c>
      <c r="G207" s="165">
        <v>4</v>
      </c>
      <c r="H207" s="169">
        <v>45962</v>
      </c>
      <c r="I207" s="165">
        <v>0</v>
      </c>
      <c r="J207" s="165">
        <v>4</v>
      </c>
      <c r="K207" s="165">
        <v>5</v>
      </c>
      <c r="L207" s="165">
        <v>8</v>
      </c>
      <c r="M207" s="165">
        <v>1</v>
      </c>
      <c r="N207" s="165">
        <v>3</v>
      </c>
    </row>
    <row r="208" spans="1:14" ht="24" customHeight="1">
      <c r="A208" s="163">
        <v>4161</v>
      </c>
      <c r="B208" s="163" t="s">
        <v>627</v>
      </c>
      <c r="C208" s="165" t="s">
        <v>592</v>
      </c>
      <c r="D208" s="165" t="s">
        <v>603</v>
      </c>
      <c r="E208" s="165" t="s">
        <v>604</v>
      </c>
      <c r="F208" s="165">
        <v>3112748399</v>
      </c>
      <c r="G208" s="165">
        <v>18</v>
      </c>
      <c r="H208" s="169">
        <v>45689</v>
      </c>
      <c r="I208" s="165">
        <v>0</v>
      </c>
      <c r="J208" s="165">
        <v>3</v>
      </c>
      <c r="K208" s="165">
        <v>4</v>
      </c>
      <c r="L208" s="165">
        <v>7</v>
      </c>
      <c r="M208" s="165">
        <v>1</v>
      </c>
      <c r="N208" s="165">
        <v>3</v>
      </c>
    </row>
    <row r="209" spans="1:14" ht="24" customHeight="1">
      <c r="A209" s="162">
        <v>4161</v>
      </c>
      <c r="B209" s="162" t="s">
        <v>627</v>
      </c>
      <c r="C209" s="165" t="s">
        <v>605</v>
      </c>
      <c r="D209" s="165" t="s">
        <v>606</v>
      </c>
      <c r="E209" s="165" t="s">
        <v>607</v>
      </c>
      <c r="F209" s="165">
        <v>3052967422</v>
      </c>
      <c r="G209" s="165">
        <v>9</v>
      </c>
      <c r="H209" s="169">
        <v>45292</v>
      </c>
      <c r="I209" s="165">
        <v>0</v>
      </c>
      <c r="J209" s="165">
        <v>4</v>
      </c>
      <c r="K209" s="165">
        <v>5</v>
      </c>
      <c r="L209" s="165">
        <v>8</v>
      </c>
      <c r="M209" s="165">
        <v>1</v>
      </c>
      <c r="N209" s="165">
        <v>5</v>
      </c>
    </row>
    <row r="210" spans="1:14" ht="24" customHeight="1">
      <c r="A210" s="163">
        <v>4161</v>
      </c>
      <c r="B210" s="163" t="s">
        <v>627</v>
      </c>
      <c r="C210" s="165" t="s">
        <v>605</v>
      </c>
      <c r="D210" s="165" t="s">
        <v>608</v>
      </c>
      <c r="E210" s="165" t="s">
        <v>609</v>
      </c>
      <c r="F210" s="165">
        <v>3013714689</v>
      </c>
      <c r="G210" s="165">
        <v>13</v>
      </c>
      <c r="H210" s="169">
        <v>45901</v>
      </c>
      <c r="I210" s="165">
        <v>0</v>
      </c>
      <c r="J210" s="165">
        <v>4</v>
      </c>
      <c r="K210" s="165">
        <v>5</v>
      </c>
      <c r="L210" s="165">
        <v>4</v>
      </c>
      <c r="M210" s="165">
        <v>1</v>
      </c>
      <c r="N210" s="165">
        <v>4</v>
      </c>
    </row>
    <row r="211" spans="1:14" ht="24" customHeight="1">
      <c r="A211" s="162">
        <v>4161</v>
      </c>
      <c r="B211" s="162" t="s">
        <v>627</v>
      </c>
      <c r="C211" s="165" t="s">
        <v>605</v>
      </c>
      <c r="D211" s="165" t="s">
        <v>610</v>
      </c>
      <c r="E211" s="165" t="s">
        <v>611</v>
      </c>
      <c r="F211" s="165">
        <v>3142059875</v>
      </c>
      <c r="G211" s="165">
        <v>12</v>
      </c>
      <c r="H211" s="169">
        <v>45292</v>
      </c>
      <c r="I211" s="165">
        <v>0</v>
      </c>
      <c r="J211" s="165">
        <v>4</v>
      </c>
      <c r="K211" s="165">
        <v>5</v>
      </c>
      <c r="L211" s="165">
        <v>3</v>
      </c>
      <c r="M211" s="165">
        <v>1</v>
      </c>
      <c r="N211" s="165">
        <v>5</v>
      </c>
    </row>
    <row r="212" spans="1:14" ht="24" customHeight="1">
      <c r="A212" s="163">
        <v>4161</v>
      </c>
      <c r="B212" s="163" t="s">
        <v>627</v>
      </c>
      <c r="C212" s="165" t="s">
        <v>605</v>
      </c>
      <c r="D212" s="165" t="s">
        <v>612</v>
      </c>
      <c r="E212" s="165" t="s">
        <v>613</v>
      </c>
      <c r="F212" s="165">
        <v>3166416285</v>
      </c>
      <c r="G212" s="165">
        <v>3</v>
      </c>
      <c r="H212" s="169">
        <v>45627</v>
      </c>
      <c r="I212" s="165">
        <v>0</v>
      </c>
      <c r="J212" s="165">
        <v>3</v>
      </c>
      <c r="K212" s="165">
        <v>4</v>
      </c>
      <c r="L212" s="165">
        <v>4</v>
      </c>
      <c r="M212" s="165">
        <v>1</v>
      </c>
      <c r="N212" s="165">
        <v>3</v>
      </c>
    </row>
    <row r="213" spans="1:14" ht="24" customHeight="1">
      <c r="A213" s="162">
        <v>4161</v>
      </c>
      <c r="B213" s="162" t="s">
        <v>627</v>
      </c>
      <c r="C213" s="165" t="s">
        <v>605</v>
      </c>
      <c r="D213" s="165" t="s">
        <v>614</v>
      </c>
      <c r="E213" s="165" t="s">
        <v>615</v>
      </c>
      <c r="F213" s="165">
        <v>3223506816</v>
      </c>
      <c r="G213" s="165">
        <v>9</v>
      </c>
      <c r="H213" s="169">
        <v>45323</v>
      </c>
      <c r="I213" s="165">
        <v>0</v>
      </c>
      <c r="J213" s="165">
        <v>4</v>
      </c>
      <c r="K213" s="165">
        <v>5</v>
      </c>
      <c r="L213" s="165">
        <v>3</v>
      </c>
      <c r="M213" s="165">
        <v>1</v>
      </c>
      <c r="N213" s="165">
        <v>5</v>
      </c>
    </row>
    <row r="214" spans="1:14" ht="24" customHeight="1">
      <c r="A214" s="163">
        <v>4161</v>
      </c>
      <c r="B214" s="163" t="s">
        <v>627</v>
      </c>
      <c r="C214" s="165" t="s">
        <v>605</v>
      </c>
      <c r="D214" s="165" t="s">
        <v>616</v>
      </c>
      <c r="E214" s="165" t="s">
        <v>617</v>
      </c>
      <c r="F214" s="165">
        <v>3162834262</v>
      </c>
      <c r="G214" s="165">
        <v>6</v>
      </c>
      <c r="H214" s="169">
        <v>45323</v>
      </c>
      <c r="I214" s="165">
        <v>0</v>
      </c>
      <c r="J214" s="165">
        <v>4</v>
      </c>
      <c r="K214" s="165">
        <v>5</v>
      </c>
      <c r="L214" s="165">
        <v>3</v>
      </c>
      <c r="M214" s="165">
        <v>1</v>
      </c>
      <c r="N214" s="165">
        <v>5</v>
      </c>
    </row>
    <row r="215" spans="1:14" ht="24" customHeight="1">
      <c r="A215" s="162">
        <v>4161</v>
      </c>
      <c r="B215" s="162" t="s">
        <v>627</v>
      </c>
      <c r="C215" s="165" t="s">
        <v>618</v>
      </c>
      <c r="D215" s="165" t="s">
        <v>619</v>
      </c>
      <c r="E215" s="165" t="s">
        <v>620</v>
      </c>
      <c r="F215" s="165">
        <v>3006850825</v>
      </c>
      <c r="G215" s="165">
        <v>2</v>
      </c>
      <c r="H215" s="169">
        <v>45292</v>
      </c>
      <c r="I215" s="165">
        <v>0</v>
      </c>
      <c r="J215" s="165">
        <v>0</v>
      </c>
      <c r="K215" s="165" t="s">
        <v>808</v>
      </c>
      <c r="L215" s="165">
        <v>3</v>
      </c>
      <c r="M215" s="165">
        <v>1</v>
      </c>
      <c r="N215" s="165">
        <v>5</v>
      </c>
    </row>
    <row r="216" spans="1:14" ht="24" customHeight="1">
      <c r="A216" s="163">
        <v>4161</v>
      </c>
      <c r="B216" s="163" t="s">
        <v>627</v>
      </c>
      <c r="C216" s="165" t="s">
        <v>618</v>
      </c>
      <c r="D216" s="165" t="s">
        <v>621</v>
      </c>
      <c r="E216" s="165" t="s">
        <v>622</v>
      </c>
      <c r="F216" s="165">
        <v>3016730684</v>
      </c>
      <c r="G216" s="165">
        <v>2</v>
      </c>
      <c r="H216" s="169">
        <v>45292</v>
      </c>
      <c r="I216" s="165">
        <v>0</v>
      </c>
      <c r="J216" s="165">
        <v>0</v>
      </c>
      <c r="K216" s="165" t="s">
        <v>808</v>
      </c>
      <c r="L216" s="165">
        <v>3</v>
      </c>
      <c r="M216" s="165">
        <v>1</v>
      </c>
      <c r="N216" s="165">
        <v>5</v>
      </c>
    </row>
    <row r="217" spans="1:14" ht="24" customHeight="1">
      <c r="A217" s="162">
        <v>4161</v>
      </c>
      <c r="B217" s="162" t="s">
        <v>627</v>
      </c>
      <c r="C217" s="165" t="s">
        <v>618</v>
      </c>
      <c r="D217" s="165" t="s">
        <v>623</v>
      </c>
      <c r="E217" s="165" t="s">
        <v>624</v>
      </c>
      <c r="F217" s="165">
        <v>3024653947</v>
      </c>
      <c r="G217" s="165">
        <v>6</v>
      </c>
      <c r="H217" s="169">
        <v>44105</v>
      </c>
      <c r="I217" s="165">
        <v>0</v>
      </c>
      <c r="J217" s="165">
        <v>0</v>
      </c>
      <c r="K217" s="165" t="s">
        <v>808</v>
      </c>
      <c r="L217" s="165">
        <v>3</v>
      </c>
      <c r="M217" s="165">
        <v>1</v>
      </c>
      <c r="N217" s="165">
        <v>4</v>
      </c>
    </row>
    <row r="218" spans="1:14" ht="24" customHeight="1">
      <c r="A218" s="163">
        <v>4161</v>
      </c>
      <c r="B218" s="163" t="s">
        <v>627</v>
      </c>
      <c r="C218" s="165" t="s">
        <v>618</v>
      </c>
      <c r="D218" s="165" t="s">
        <v>625</v>
      </c>
      <c r="E218" s="165" t="s">
        <v>626</v>
      </c>
      <c r="F218" s="165">
        <v>3159277013</v>
      </c>
      <c r="G218" s="165">
        <v>6</v>
      </c>
      <c r="H218" s="169">
        <v>43831</v>
      </c>
      <c r="I218" s="165">
        <v>0</v>
      </c>
      <c r="J218" s="165">
        <v>0</v>
      </c>
      <c r="K218" s="165" t="s">
        <v>808</v>
      </c>
      <c r="L218" s="165">
        <v>2</v>
      </c>
      <c r="M218" s="165">
        <v>1</v>
      </c>
      <c r="N218" s="165">
        <v>4</v>
      </c>
    </row>
    <row r="219" spans="1:14" ht="24" customHeight="1">
      <c r="A219" s="162">
        <v>4145</v>
      </c>
      <c r="B219" s="162" t="s">
        <v>667</v>
      </c>
      <c r="C219" s="165" t="s">
        <v>628</v>
      </c>
      <c r="D219" s="165" t="s">
        <v>629</v>
      </c>
      <c r="E219" s="165" t="s">
        <v>630</v>
      </c>
      <c r="F219" s="165">
        <v>3226090091</v>
      </c>
      <c r="G219" s="165">
        <v>8</v>
      </c>
      <c r="H219" s="169"/>
      <c r="I219" s="165">
        <v>0</v>
      </c>
      <c r="J219" s="165">
        <v>4</v>
      </c>
      <c r="K219" s="165">
        <v>5</v>
      </c>
      <c r="L219" s="165">
        <v>3</v>
      </c>
      <c r="M219" s="165">
        <v>1</v>
      </c>
      <c r="N219" s="165">
        <v>5</v>
      </c>
    </row>
    <row r="220" spans="1:14" ht="24" customHeight="1">
      <c r="A220" s="163">
        <v>4145</v>
      </c>
      <c r="B220" s="163" t="s">
        <v>667</v>
      </c>
      <c r="C220" s="165" t="s">
        <v>628</v>
      </c>
      <c r="D220" s="165" t="s">
        <v>631</v>
      </c>
      <c r="E220" s="165" t="s">
        <v>632</v>
      </c>
      <c r="F220" s="165">
        <v>3134852276</v>
      </c>
      <c r="G220" s="165">
        <v>11</v>
      </c>
      <c r="H220" s="169">
        <v>45748</v>
      </c>
      <c r="I220" s="165">
        <v>0</v>
      </c>
      <c r="J220" s="165">
        <v>4</v>
      </c>
      <c r="K220" s="165">
        <v>5</v>
      </c>
      <c r="L220" s="165">
        <v>3</v>
      </c>
      <c r="M220" s="165">
        <v>1</v>
      </c>
      <c r="N220" s="165">
        <v>5</v>
      </c>
    </row>
    <row r="221" spans="1:14" ht="24" customHeight="1">
      <c r="A221" s="162">
        <v>4145</v>
      </c>
      <c r="B221" s="162" t="s">
        <v>667</v>
      </c>
      <c r="C221" s="165" t="s">
        <v>628</v>
      </c>
      <c r="D221" s="165" t="s">
        <v>633</v>
      </c>
      <c r="E221" s="165" t="s">
        <v>634</v>
      </c>
      <c r="F221" s="165">
        <v>3102532767</v>
      </c>
      <c r="G221" s="165">
        <v>5</v>
      </c>
      <c r="H221" s="169">
        <v>45748</v>
      </c>
      <c r="I221" s="165">
        <v>0</v>
      </c>
      <c r="J221" s="165">
        <v>3</v>
      </c>
      <c r="K221" s="165">
        <v>4</v>
      </c>
      <c r="L221" s="165">
        <v>2</v>
      </c>
      <c r="M221" s="165">
        <v>1</v>
      </c>
      <c r="N221" s="165">
        <v>3</v>
      </c>
    </row>
    <row r="222" spans="1:14" ht="24" customHeight="1">
      <c r="A222" s="163">
        <v>4145</v>
      </c>
      <c r="B222" s="163" t="s">
        <v>667</v>
      </c>
      <c r="C222" s="165" t="s">
        <v>628</v>
      </c>
      <c r="D222" s="165" t="s">
        <v>635</v>
      </c>
      <c r="E222" s="165" t="s">
        <v>636</v>
      </c>
      <c r="F222" s="165">
        <v>3057999711</v>
      </c>
      <c r="G222" s="165">
        <v>5</v>
      </c>
      <c r="H222" s="169">
        <v>44228</v>
      </c>
      <c r="I222" s="165">
        <v>0</v>
      </c>
      <c r="J222" s="165">
        <v>4</v>
      </c>
      <c r="K222" s="165">
        <v>5</v>
      </c>
      <c r="L222" s="165">
        <v>3</v>
      </c>
      <c r="M222" s="165">
        <v>1</v>
      </c>
      <c r="N222" s="165">
        <v>5</v>
      </c>
    </row>
    <row r="223" spans="1:14" ht="24" customHeight="1">
      <c r="A223" s="162">
        <v>4145</v>
      </c>
      <c r="B223" s="162" t="s">
        <v>667</v>
      </c>
      <c r="C223" s="165" t="s">
        <v>628</v>
      </c>
      <c r="D223" s="165" t="s">
        <v>637</v>
      </c>
      <c r="E223" s="165" t="s">
        <v>638</v>
      </c>
      <c r="F223" s="165">
        <v>3226534379</v>
      </c>
      <c r="G223" s="165">
        <v>10</v>
      </c>
      <c r="H223" s="169">
        <v>44256</v>
      </c>
      <c r="I223" s="165">
        <v>0</v>
      </c>
      <c r="J223" s="165">
        <v>4</v>
      </c>
      <c r="K223" s="165">
        <v>5</v>
      </c>
      <c r="L223" s="165">
        <v>2</v>
      </c>
      <c r="M223" s="165">
        <v>1</v>
      </c>
      <c r="N223" s="165">
        <v>5</v>
      </c>
    </row>
    <row r="224" spans="1:14" ht="24" customHeight="1">
      <c r="A224" s="163">
        <v>4145</v>
      </c>
      <c r="B224" s="163" t="s">
        <v>667</v>
      </c>
      <c r="C224" s="165" t="s">
        <v>639</v>
      </c>
      <c r="D224" s="165" t="s">
        <v>640</v>
      </c>
      <c r="E224" s="165" t="s">
        <v>641</v>
      </c>
      <c r="F224" s="165">
        <v>3213795488</v>
      </c>
      <c r="G224" s="165" t="s">
        <v>642</v>
      </c>
      <c r="H224" s="169">
        <v>44378</v>
      </c>
      <c r="I224" s="165">
        <v>0</v>
      </c>
      <c r="J224" s="165">
        <v>3</v>
      </c>
      <c r="K224" s="165">
        <v>4</v>
      </c>
      <c r="L224" s="165">
        <v>3</v>
      </c>
      <c r="M224" s="165">
        <v>1</v>
      </c>
      <c r="N224" s="165">
        <v>4</v>
      </c>
    </row>
    <row r="225" spans="1:14" ht="24" customHeight="1">
      <c r="A225" s="162">
        <v>4145</v>
      </c>
      <c r="B225" s="162" t="s">
        <v>667</v>
      </c>
      <c r="C225" s="165" t="s">
        <v>628</v>
      </c>
      <c r="D225" s="165" t="s">
        <v>643</v>
      </c>
      <c r="E225" s="165" t="s">
        <v>644</v>
      </c>
      <c r="F225" s="165">
        <v>3127111708</v>
      </c>
      <c r="G225" s="165">
        <v>2</v>
      </c>
      <c r="H225" s="169">
        <v>45839</v>
      </c>
      <c r="I225" s="165">
        <v>0</v>
      </c>
      <c r="J225" s="165">
        <v>2</v>
      </c>
      <c r="K225" s="165">
        <v>3</v>
      </c>
      <c r="L225" s="165">
        <v>3</v>
      </c>
      <c r="M225" s="165">
        <v>1</v>
      </c>
      <c r="N225" s="165">
        <v>3</v>
      </c>
    </row>
    <row r="226" spans="1:14" ht="24" customHeight="1">
      <c r="A226" s="163">
        <v>4145</v>
      </c>
      <c r="B226" s="163" t="s">
        <v>667</v>
      </c>
      <c r="C226" s="165" t="s">
        <v>645</v>
      </c>
      <c r="D226" s="165" t="s">
        <v>646</v>
      </c>
      <c r="E226" s="165" t="s">
        <v>647</v>
      </c>
      <c r="F226" s="165">
        <v>3175701564</v>
      </c>
      <c r="G226" s="165">
        <v>8</v>
      </c>
      <c r="H226" s="169">
        <v>45505</v>
      </c>
      <c r="I226" s="165">
        <v>0</v>
      </c>
      <c r="J226" s="165">
        <v>4</v>
      </c>
      <c r="K226" s="165">
        <v>5</v>
      </c>
      <c r="L226" s="165">
        <v>5</v>
      </c>
      <c r="M226" s="165">
        <v>1</v>
      </c>
      <c r="N226" s="165">
        <v>5</v>
      </c>
    </row>
    <row r="227" spans="1:14" ht="24" customHeight="1">
      <c r="A227" s="162">
        <v>4145</v>
      </c>
      <c r="B227" s="162" t="s">
        <v>667</v>
      </c>
      <c r="C227" s="165" t="s">
        <v>336</v>
      </c>
      <c r="D227" s="165" t="s">
        <v>337</v>
      </c>
      <c r="E227" s="165" t="s">
        <v>338</v>
      </c>
      <c r="F227" s="165">
        <v>3182268407</v>
      </c>
      <c r="G227" s="165">
        <v>4</v>
      </c>
      <c r="H227" s="169">
        <v>45717</v>
      </c>
      <c r="I227" s="165">
        <v>0</v>
      </c>
      <c r="J227" s="165">
        <v>3</v>
      </c>
      <c r="K227" s="165">
        <v>4</v>
      </c>
      <c r="L227" s="165">
        <v>8</v>
      </c>
      <c r="M227" s="165">
        <v>1</v>
      </c>
      <c r="N227" s="165">
        <v>5</v>
      </c>
    </row>
    <row r="228" spans="1:14" ht="24" customHeight="1">
      <c r="A228" s="163">
        <v>4145</v>
      </c>
      <c r="B228" s="163" t="s">
        <v>667</v>
      </c>
      <c r="C228" s="165" t="s">
        <v>648</v>
      </c>
      <c r="D228" s="165" t="s">
        <v>649</v>
      </c>
      <c r="E228" s="165" t="s">
        <v>650</v>
      </c>
      <c r="F228" s="165">
        <v>3041127809</v>
      </c>
      <c r="G228" s="165">
        <v>12</v>
      </c>
      <c r="H228" s="169">
        <v>45444</v>
      </c>
      <c r="I228" s="165">
        <v>0</v>
      </c>
      <c r="J228" s="165">
        <v>1</v>
      </c>
      <c r="K228" s="165">
        <v>2</v>
      </c>
      <c r="L228" s="165">
        <v>8</v>
      </c>
      <c r="M228" s="165">
        <v>1</v>
      </c>
      <c r="N228" s="165">
        <v>1</v>
      </c>
    </row>
    <row r="229" spans="1:14" ht="24" customHeight="1">
      <c r="A229" s="162">
        <v>4145</v>
      </c>
      <c r="B229" s="162" t="s">
        <v>667</v>
      </c>
      <c r="C229" s="165" t="s">
        <v>648</v>
      </c>
      <c r="D229" s="165" t="s">
        <v>651</v>
      </c>
      <c r="E229" s="165" t="s">
        <v>652</v>
      </c>
      <c r="F229" s="165">
        <v>3167792580</v>
      </c>
      <c r="G229" s="165">
        <v>5</v>
      </c>
      <c r="H229" s="169">
        <v>45748</v>
      </c>
      <c r="I229" s="165">
        <v>0</v>
      </c>
      <c r="J229" s="165">
        <v>1</v>
      </c>
      <c r="K229" s="165">
        <v>2</v>
      </c>
      <c r="L229" s="165">
        <v>8</v>
      </c>
      <c r="M229" s="165">
        <v>1</v>
      </c>
      <c r="N229" s="165">
        <v>2</v>
      </c>
    </row>
    <row r="230" spans="1:14" ht="24" customHeight="1">
      <c r="A230" s="163">
        <v>4145</v>
      </c>
      <c r="B230" s="163" t="s">
        <v>667</v>
      </c>
      <c r="C230" s="165" t="s">
        <v>648</v>
      </c>
      <c r="D230" s="165" t="s">
        <v>653</v>
      </c>
      <c r="E230" s="165" t="s">
        <v>654</v>
      </c>
      <c r="F230" s="165">
        <v>3005792174</v>
      </c>
      <c r="G230" s="165">
        <v>19</v>
      </c>
      <c r="H230" s="169">
        <v>39387</v>
      </c>
      <c r="I230" s="165">
        <v>0</v>
      </c>
      <c r="J230" s="165">
        <v>1</v>
      </c>
      <c r="K230" s="165">
        <v>2</v>
      </c>
      <c r="L230" s="165">
        <v>8</v>
      </c>
      <c r="M230" s="165">
        <v>1</v>
      </c>
      <c r="N230" s="165">
        <v>4</v>
      </c>
    </row>
    <row r="231" spans="1:14" ht="24" customHeight="1">
      <c r="A231" s="162">
        <v>4145</v>
      </c>
      <c r="B231" s="162" t="s">
        <v>667</v>
      </c>
      <c r="C231" s="165" t="s">
        <v>648</v>
      </c>
      <c r="D231" s="165" t="s">
        <v>655</v>
      </c>
      <c r="E231" s="165" t="s">
        <v>656</v>
      </c>
      <c r="F231" s="165">
        <v>3102783002</v>
      </c>
      <c r="G231" s="165">
        <v>15</v>
      </c>
      <c r="H231" s="169">
        <v>45717</v>
      </c>
      <c r="I231" s="165">
        <v>0</v>
      </c>
      <c r="J231" s="165">
        <v>1</v>
      </c>
      <c r="K231" s="165">
        <v>2</v>
      </c>
      <c r="L231" s="165">
        <v>8</v>
      </c>
      <c r="M231" s="165">
        <v>1</v>
      </c>
      <c r="N231" s="165">
        <v>3</v>
      </c>
    </row>
    <row r="232" spans="1:14" ht="24" customHeight="1">
      <c r="A232" s="163">
        <v>4145</v>
      </c>
      <c r="B232" s="163" t="s">
        <v>667</v>
      </c>
      <c r="C232" s="165" t="s">
        <v>657</v>
      </c>
      <c r="D232" s="165" t="s">
        <v>658</v>
      </c>
      <c r="E232" s="165" t="s">
        <v>659</v>
      </c>
      <c r="F232" s="165">
        <v>3172603503</v>
      </c>
      <c r="G232" s="165">
        <v>12</v>
      </c>
      <c r="H232" s="169">
        <v>45474</v>
      </c>
      <c r="I232" s="165">
        <v>0</v>
      </c>
      <c r="J232" s="165">
        <v>3</v>
      </c>
      <c r="K232" s="165">
        <v>4</v>
      </c>
      <c r="L232" s="165">
        <v>7</v>
      </c>
      <c r="M232" s="165">
        <v>0</v>
      </c>
      <c r="N232" s="165">
        <v>5</v>
      </c>
    </row>
    <row r="233" spans="1:14" ht="24" customHeight="1">
      <c r="A233" s="162">
        <v>4145</v>
      </c>
      <c r="B233" s="162" t="s">
        <v>667</v>
      </c>
      <c r="C233" s="165" t="s">
        <v>657</v>
      </c>
      <c r="D233" s="165" t="s">
        <v>660</v>
      </c>
      <c r="E233" s="165" t="s">
        <v>661</v>
      </c>
      <c r="F233" s="165">
        <v>3177046455</v>
      </c>
      <c r="G233" s="165">
        <v>7</v>
      </c>
      <c r="H233" s="169">
        <v>45292</v>
      </c>
      <c r="I233" s="165">
        <v>0</v>
      </c>
      <c r="J233" s="165">
        <v>3</v>
      </c>
      <c r="K233" s="165">
        <v>4</v>
      </c>
      <c r="L233" s="165">
        <v>7</v>
      </c>
      <c r="M233" s="165">
        <v>0</v>
      </c>
      <c r="N233" s="165">
        <v>5</v>
      </c>
    </row>
    <row r="234" spans="1:14" ht="24" customHeight="1">
      <c r="A234" s="163">
        <v>4145</v>
      </c>
      <c r="B234" s="163" t="s">
        <v>667</v>
      </c>
      <c r="C234" s="165" t="s">
        <v>662</v>
      </c>
      <c r="D234" s="165" t="s">
        <v>663</v>
      </c>
      <c r="E234" s="165" t="s">
        <v>664</v>
      </c>
      <c r="F234" s="165">
        <v>3218328162</v>
      </c>
      <c r="G234" s="165">
        <v>20</v>
      </c>
      <c r="H234" s="169">
        <v>43891</v>
      </c>
      <c r="I234" s="165">
        <v>4</v>
      </c>
      <c r="J234" s="165">
        <v>0</v>
      </c>
      <c r="K234" s="165">
        <v>1</v>
      </c>
      <c r="L234" s="165">
        <v>0</v>
      </c>
      <c r="M234" s="165">
        <v>0</v>
      </c>
      <c r="N234" s="165">
        <v>3</v>
      </c>
    </row>
    <row r="235" spans="1:14" ht="24" customHeight="1">
      <c r="A235" s="162">
        <v>4145</v>
      </c>
      <c r="B235" s="162" t="s">
        <v>667</v>
      </c>
      <c r="C235" s="165" t="s">
        <v>662</v>
      </c>
      <c r="D235" s="165" t="s">
        <v>665</v>
      </c>
      <c r="E235" s="165" t="s">
        <v>666</v>
      </c>
      <c r="F235" s="165">
        <v>3177808760</v>
      </c>
      <c r="G235" s="165">
        <v>12</v>
      </c>
      <c r="H235" s="169">
        <v>41395</v>
      </c>
      <c r="I235" s="165">
        <v>0</v>
      </c>
      <c r="J235" s="165">
        <v>3</v>
      </c>
      <c r="K235" s="165">
        <v>4</v>
      </c>
      <c r="L235" s="165">
        <v>0</v>
      </c>
      <c r="M235" s="165">
        <v>1</v>
      </c>
      <c r="N235" s="165">
        <v>3</v>
      </c>
    </row>
    <row r="236" spans="1:14" ht="24" customHeight="1">
      <c r="A236" s="163">
        <v>4172</v>
      </c>
      <c r="B236" s="163" t="s">
        <v>692</v>
      </c>
      <c r="C236" s="165" t="s">
        <v>668</v>
      </c>
      <c r="D236" s="165" t="s">
        <v>669</v>
      </c>
      <c r="E236" s="165" t="s">
        <v>670</v>
      </c>
      <c r="F236" s="165">
        <v>3017912555</v>
      </c>
      <c r="G236" s="165">
        <v>8</v>
      </c>
      <c r="H236" s="169" t="s">
        <v>404</v>
      </c>
      <c r="I236" s="165">
        <v>0</v>
      </c>
      <c r="J236" s="165">
        <v>2</v>
      </c>
      <c r="K236" s="165">
        <v>3</v>
      </c>
      <c r="L236" s="165">
        <v>2</v>
      </c>
      <c r="M236" s="165">
        <v>1</v>
      </c>
      <c r="N236" s="165">
        <v>2</v>
      </c>
    </row>
    <row r="237" spans="1:14" ht="24" customHeight="1">
      <c r="A237" s="162">
        <v>4172</v>
      </c>
      <c r="B237" s="162" t="s">
        <v>692</v>
      </c>
      <c r="C237" s="165" t="s">
        <v>668</v>
      </c>
      <c r="D237" s="165" t="s">
        <v>671</v>
      </c>
      <c r="E237" s="165" t="s">
        <v>672</v>
      </c>
      <c r="F237" s="165">
        <v>3017423633</v>
      </c>
      <c r="G237" s="165">
        <v>12</v>
      </c>
      <c r="H237" s="169" t="s">
        <v>387</v>
      </c>
      <c r="I237" s="165">
        <v>0</v>
      </c>
      <c r="J237" s="165">
        <v>4</v>
      </c>
      <c r="K237" s="165">
        <v>5</v>
      </c>
      <c r="L237" s="165">
        <v>5</v>
      </c>
      <c r="M237" s="165">
        <v>1</v>
      </c>
      <c r="N237" s="165">
        <v>4</v>
      </c>
    </row>
    <row r="238" spans="1:14" ht="24" customHeight="1">
      <c r="A238" s="163">
        <v>4172</v>
      </c>
      <c r="B238" s="163" t="s">
        <v>692</v>
      </c>
      <c r="C238" s="165" t="s">
        <v>668</v>
      </c>
      <c r="D238" s="165" t="s">
        <v>673</v>
      </c>
      <c r="E238" s="165" t="s">
        <v>674</v>
      </c>
      <c r="F238" s="165">
        <v>3185828021</v>
      </c>
      <c r="G238" s="165">
        <v>5</v>
      </c>
      <c r="H238" s="169" t="s">
        <v>675</v>
      </c>
      <c r="I238" s="165">
        <v>0</v>
      </c>
      <c r="J238" s="165">
        <v>3</v>
      </c>
      <c r="K238" s="165">
        <v>4</v>
      </c>
      <c r="L238" s="165">
        <v>3</v>
      </c>
      <c r="M238" s="165">
        <v>1</v>
      </c>
      <c r="N238" s="165">
        <v>3</v>
      </c>
    </row>
    <row r="239" spans="1:14" ht="24" customHeight="1">
      <c r="A239" s="162">
        <v>4172</v>
      </c>
      <c r="B239" s="162" t="s">
        <v>692</v>
      </c>
      <c r="C239" s="165" t="s">
        <v>676</v>
      </c>
      <c r="D239" s="165" t="s">
        <v>671</v>
      </c>
      <c r="E239" s="165" t="s">
        <v>672</v>
      </c>
      <c r="F239" s="165">
        <v>3017423633</v>
      </c>
      <c r="G239" s="165">
        <v>12</v>
      </c>
      <c r="H239" s="169" t="s">
        <v>387</v>
      </c>
      <c r="I239" s="165">
        <v>0</v>
      </c>
      <c r="J239" s="165">
        <v>4</v>
      </c>
      <c r="K239" s="165">
        <v>5</v>
      </c>
      <c r="L239" s="165">
        <v>7</v>
      </c>
      <c r="M239" s="165">
        <v>1</v>
      </c>
      <c r="N239" s="165">
        <v>4</v>
      </c>
    </row>
    <row r="240" spans="1:14" ht="24" customHeight="1">
      <c r="A240" s="163">
        <v>4172</v>
      </c>
      <c r="B240" s="163" t="s">
        <v>692</v>
      </c>
      <c r="C240" s="165" t="s">
        <v>676</v>
      </c>
      <c r="D240" s="165" t="s">
        <v>673</v>
      </c>
      <c r="E240" s="165" t="s">
        <v>674</v>
      </c>
      <c r="F240" s="165">
        <v>3185828021</v>
      </c>
      <c r="G240" s="165">
        <v>5</v>
      </c>
      <c r="H240" s="169" t="s">
        <v>675</v>
      </c>
      <c r="I240" s="165">
        <v>0</v>
      </c>
      <c r="J240" s="165">
        <v>3</v>
      </c>
      <c r="K240" s="165">
        <v>4</v>
      </c>
      <c r="L240" s="165">
        <v>5</v>
      </c>
      <c r="M240" s="165">
        <v>1</v>
      </c>
      <c r="N240" s="165">
        <v>3</v>
      </c>
    </row>
    <row r="241" spans="1:14" ht="24" customHeight="1">
      <c r="A241" s="162">
        <v>4172</v>
      </c>
      <c r="B241" s="162" t="s">
        <v>692</v>
      </c>
      <c r="C241" s="165" t="s">
        <v>677</v>
      </c>
      <c r="D241" s="165" t="s">
        <v>671</v>
      </c>
      <c r="E241" s="165" t="s">
        <v>672</v>
      </c>
      <c r="F241" s="165">
        <v>3017423633</v>
      </c>
      <c r="G241" s="165">
        <v>12</v>
      </c>
      <c r="H241" s="169" t="s">
        <v>387</v>
      </c>
      <c r="I241" s="165">
        <v>0</v>
      </c>
      <c r="J241" s="165">
        <v>4</v>
      </c>
      <c r="K241" s="165">
        <v>5</v>
      </c>
      <c r="L241" s="165">
        <v>7</v>
      </c>
      <c r="M241" s="165">
        <v>1</v>
      </c>
      <c r="N241" s="165">
        <v>4</v>
      </c>
    </row>
    <row r="242" spans="1:14" ht="24" customHeight="1">
      <c r="A242" s="163">
        <v>4172</v>
      </c>
      <c r="B242" s="163" t="s">
        <v>692</v>
      </c>
      <c r="C242" s="165" t="s">
        <v>677</v>
      </c>
      <c r="D242" s="165" t="s">
        <v>673</v>
      </c>
      <c r="E242" s="165" t="s">
        <v>674</v>
      </c>
      <c r="F242" s="165">
        <v>3185828021</v>
      </c>
      <c r="G242" s="165">
        <v>5</v>
      </c>
      <c r="H242" s="169" t="s">
        <v>675</v>
      </c>
      <c r="I242" s="165">
        <v>0</v>
      </c>
      <c r="J242" s="165">
        <v>3</v>
      </c>
      <c r="K242" s="165">
        <v>4</v>
      </c>
      <c r="L242" s="165">
        <v>5</v>
      </c>
      <c r="M242" s="165">
        <v>1</v>
      </c>
      <c r="N242" s="165">
        <v>3</v>
      </c>
    </row>
    <row r="243" spans="1:14" ht="24" customHeight="1">
      <c r="A243" s="162">
        <v>4172</v>
      </c>
      <c r="B243" s="162" t="s">
        <v>692</v>
      </c>
      <c r="C243" s="165" t="s">
        <v>678</v>
      </c>
      <c r="D243" s="165" t="s">
        <v>679</v>
      </c>
      <c r="E243" s="165" t="s">
        <v>680</v>
      </c>
      <c r="F243" s="165">
        <v>3178575902</v>
      </c>
      <c r="G243" s="165">
        <v>10</v>
      </c>
      <c r="H243" s="169" t="s">
        <v>681</v>
      </c>
      <c r="I243" s="165">
        <v>0</v>
      </c>
      <c r="J243" s="165">
        <v>3</v>
      </c>
      <c r="K243" s="165">
        <v>4</v>
      </c>
      <c r="L243" s="165">
        <v>4</v>
      </c>
      <c r="M243" s="165">
        <v>0</v>
      </c>
      <c r="N243" s="165">
        <v>3</v>
      </c>
    </row>
    <row r="244" spans="1:14" ht="24" customHeight="1">
      <c r="A244" s="163">
        <v>4172</v>
      </c>
      <c r="B244" s="163" t="s">
        <v>692</v>
      </c>
      <c r="C244" s="165" t="s">
        <v>678</v>
      </c>
      <c r="D244" s="165" t="s">
        <v>682</v>
      </c>
      <c r="E244" s="165" t="s">
        <v>683</v>
      </c>
      <c r="F244" s="165">
        <v>3207504491</v>
      </c>
      <c r="G244" s="165">
        <v>1</v>
      </c>
      <c r="H244" s="169" t="s">
        <v>380</v>
      </c>
      <c r="I244" s="165">
        <v>0</v>
      </c>
      <c r="J244" s="165">
        <v>3</v>
      </c>
      <c r="K244" s="165">
        <v>4</v>
      </c>
      <c r="L244" s="165">
        <v>3</v>
      </c>
      <c r="M244" s="165">
        <v>0</v>
      </c>
      <c r="N244" s="165">
        <v>3</v>
      </c>
    </row>
    <row r="245" spans="1:14" ht="24" customHeight="1">
      <c r="A245" s="162">
        <v>4172</v>
      </c>
      <c r="B245" s="162" t="s">
        <v>692</v>
      </c>
      <c r="C245" s="165" t="s">
        <v>678</v>
      </c>
      <c r="D245" s="165" t="s">
        <v>684</v>
      </c>
      <c r="E245" s="165" t="s">
        <v>685</v>
      </c>
      <c r="F245" s="165">
        <v>3133282692</v>
      </c>
      <c r="G245" s="165">
        <v>0</v>
      </c>
      <c r="H245" s="169" t="s">
        <v>686</v>
      </c>
      <c r="I245" s="165">
        <v>0</v>
      </c>
      <c r="J245" s="165">
        <v>2</v>
      </c>
      <c r="K245" s="165">
        <v>3</v>
      </c>
      <c r="L245" s="165">
        <v>3</v>
      </c>
      <c r="M245" s="165">
        <v>0</v>
      </c>
      <c r="N245" s="165">
        <v>2</v>
      </c>
    </row>
    <row r="246" spans="1:14" ht="24" customHeight="1">
      <c r="A246" s="163">
        <v>4172</v>
      </c>
      <c r="B246" s="163" t="s">
        <v>692</v>
      </c>
      <c r="C246" s="165" t="s">
        <v>687</v>
      </c>
      <c r="D246" s="165" t="s">
        <v>688</v>
      </c>
      <c r="E246" s="165" t="s">
        <v>689</v>
      </c>
      <c r="F246" s="165">
        <v>3175108256</v>
      </c>
      <c r="G246" s="165">
        <v>8</v>
      </c>
      <c r="H246" s="169" t="s">
        <v>391</v>
      </c>
      <c r="I246" s="165">
        <v>0</v>
      </c>
      <c r="J246" s="165">
        <v>4</v>
      </c>
      <c r="K246" s="165">
        <v>5</v>
      </c>
      <c r="L246" s="165">
        <v>5</v>
      </c>
      <c r="M246" s="165">
        <v>0</v>
      </c>
      <c r="N246" s="165">
        <v>4</v>
      </c>
    </row>
    <row r="247" spans="1:14" ht="24" customHeight="1">
      <c r="A247" s="162">
        <v>4172</v>
      </c>
      <c r="B247" s="162" t="s">
        <v>692</v>
      </c>
      <c r="C247" s="165" t="s">
        <v>687</v>
      </c>
      <c r="D247" s="165" t="s">
        <v>690</v>
      </c>
      <c r="E247" s="165" t="s">
        <v>689</v>
      </c>
      <c r="F247" s="165">
        <v>3146601753</v>
      </c>
      <c r="G247" s="165">
        <v>2</v>
      </c>
      <c r="H247" s="169" t="s">
        <v>691</v>
      </c>
      <c r="I247" s="165">
        <v>0</v>
      </c>
      <c r="J247" s="165">
        <v>3</v>
      </c>
      <c r="K247" s="165">
        <v>4</v>
      </c>
      <c r="L247" s="165">
        <v>5</v>
      </c>
      <c r="M247" s="165">
        <v>0</v>
      </c>
      <c r="N247" s="165">
        <v>3</v>
      </c>
    </row>
    <row r="248" spans="1:14" ht="24" customHeight="1">
      <c r="A248" s="163">
        <v>4147</v>
      </c>
      <c r="B248" s="163" t="s">
        <v>777</v>
      </c>
      <c r="C248" s="165" t="s">
        <v>693</v>
      </c>
      <c r="D248" s="165" t="s">
        <v>694</v>
      </c>
      <c r="E248" s="165" t="s">
        <v>695</v>
      </c>
      <c r="F248" s="165">
        <v>3208989809</v>
      </c>
      <c r="G248" s="165" t="s">
        <v>696</v>
      </c>
      <c r="H248" s="169">
        <v>45931</v>
      </c>
      <c r="I248" s="165">
        <v>0</v>
      </c>
      <c r="J248" s="165">
        <v>4</v>
      </c>
      <c r="K248" s="165">
        <v>5</v>
      </c>
      <c r="L248" s="165">
        <v>2</v>
      </c>
      <c r="M248" s="165">
        <v>0</v>
      </c>
      <c r="N248" s="165">
        <v>4</v>
      </c>
    </row>
    <row r="249" spans="1:14" ht="24" customHeight="1">
      <c r="A249" s="162">
        <v>4147</v>
      </c>
      <c r="B249" s="162" t="s">
        <v>777</v>
      </c>
      <c r="C249" s="165" t="s">
        <v>693</v>
      </c>
      <c r="D249" s="165" t="s">
        <v>697</v>
      </c>
      <c r="E249" s="165" t="s">
        <v>698</v>
      </c>
      <c r="F249" s="165">
        <v>3113920863</v>
      </c>
      <c r="G249" s="165" t="s">
        <v>699</v>
      </c>
      <c r="H249" s="169">
        <v>45931</v>
      </c>
      <c r="I249" s="165">
        <v>0</v>
      </c>
      <c r="J249" s="165">
        <v>3</v>
      </c>
      <c r="K249" s="165">
        <v>4</v>
      </c>
      <c r="L249" s="165">
        <v>2</v>
      </c>
      <c r="M249" s="165">
        <v>0</v>
      </c>
      <c r="N249" s="165">
        <v>3</v>
      </c>
    </row>
    <row r="250" spans="1:14" ht="24" customHeight="1">
      <c r="A250" s="163">
        <v>4147</v>
      </c>
      <c r="B250" s="163" t="s">
        <v>777</v>
      </c>
      <c r="C250" s="165" t="s">
        <v>693</v>
      </c>
      <c r="D250" s="165" t="s">
        <v>700</v>
      </c>
      <c r="E250" s="165" t="s">
        <v>701</v>
      </c>
      <c r="F250" s="165">
        <v>3133399473</v>
      </c>
      <c r="G250" s="165" t="s">
        <v>702</v>
      </c>
      <c r="H250" s="169">
        <v>45931</v>
      </c>
      <c r="I250" s="165">
        <v>0</v>
      </c>
      <c r="J250" s="165">
        <v>2</v>
      </c>
      <c r="K250" s="165">
        <v>3</v>
      </c>
      <c r="L250" s="165">
        <v>2</v>
      </c>
      <c r="M250" s="165">
        <v>0</v>
      </c>
      <c r="N250" s="165">
        <v>2</v>
      </c>
    </row>
    <row r="251" spans="1:14" ht="24" customHeight="1">
      <c r="A251" s="162">
        <v>4147</v>
      </c>
      <c r="B251" s="162" t="s">
        <v>777</v>
      </c>
      <c r="C251" s="165" t="s">
        <v>693</v>
      </c>
      <c r="D251" s="165" t="s">
        <v>703</v>
      </c>
      <c r="E251" s="165" t="s">
        <v>704</v>
      </c>
      <c r="F251" s="165">
        <v>3152822477</v>
      </c>
      <c r="G251" s="165" t="s">
        <v>705</v>
      </c>
      <c r="H251" s="169">
        <v>45931</v>
      </c>
      <c r="I251" s="165">
        <v>0</v>
      </c>
      <c r="J251" s="165">
        <v>4</v>
      </c>
      <c r="K251" s="165">
        <v>5</v>
      </c>
      <c r="L251" s="165">
        <v>2</v>
      </c>
      <c r="M251" s="165">
        <v>0</v>
      </c>
      <c r="N251" s="165">
        <v>4</v>
      </c>
    </row>
    <row r="252" spans="1:14" ht="24" customHeight="1">
      <c r="A252" s="163">
        <v>4147</v>
      </c>
      <c r="B252" s="163" t="s">
        <v>777</v>
      </c>
      <c r="C252" s="165" t="s">
        <v>693</v>
      </c>
      <c r="D252" s="165" t="s">
        <v>706</v>
      </c>
      <c r="E252" s="165" t="s">
        <v>707</v>
      </c>
      <c r="F252" s="165">
        <v>3027324918</v>
      </c>
      <c r="G252" s="165" t="s">
        <v>708</v>
      </c>
      <c r="H252" s="169">
        <v>45931</v>
      </c>
      <c r="I252" s="165">
        <v>0</v>
      </c>
      <c r="J252" s="165">
        <v>4</v>
      </c>
      <c r="K252" s="165">
        <v>5</v>
      </c>
      <c r="L252" s="165">
        <v>2</v>
      </c>
      <c r="M252" s="165">
        <v>0</v>
      </c>
      <c r="N252" s="165">
        <v>4</v>
      </c>
    </row>
    <row r="253" spans="1:14" ht="24" customHeight="1">
      <c r="A253" s="162">
        <v>4147</v>
      </c>
      <c r="B253" s="162" t="s">
        <v>777</v>
      </c>
      <c r="C253" s="165" t="s">
        <v>693</v>
      </c>
      <c r="D253" s="165" t="s">
        <v>709</v>
      </c>
      <c r="E253" s="165" t="s">
        <v>710</v>
      </c>
      <c r="F253" s="165">
        <v>3157789710</v>
      </c>
      <c r="G253" s="165" t="s">
        <v>58</v>
      </c>
      <c r="H253" s="169">
        <v>45931</v>
      </c>
      <c r="I253" s="165">
        <v>0</v>
      </c>
      <c r="J253" s="165">
        <v>3</v>
      </c>
      <c r="K253" s="165">
        <v>4</v>
      </c>
      <c r="L253" s="165">
        <v>2</v>
      </c>
      <c r="M253" s="165">
        <v>0</v>
      </c>
      <c r="N253" s="165">
        <v>3</v>
      </c>
    </row>
    <row r="254" spans="1:14" ht="24" customHeight="1">
      <c r="A254" s="163">
        <v>4147</v>
      </c>
      <c r="B254" s="163" t="s">
        <v>777</v>
      </c>
      <c r="C254" s="165" t="s">
        <v>693</v>
      </c>
      <c r="D254" s="165" t="s">
        <v>711</v>
      </c>
      <c r="E254" s="165" t="s">
        <v>712</v>
      </c>
      <c r="F254" s="165">
        <v>3154637771</v>
      </c>
      <c r="G254" s="165" t="s">
        <v>713</v>
      </c>
      <c r="H254" s="169">
        <v>45931</v>
      </c>
      <c r="I254" s="165">
        <v>0</v>
      </c>
      <c r="J254" s="165">
        <v>4</v>
      </c>
      <c r="K254" s="165">
        <v>5</v>
      </c>
      <c r="L254" s="165">
        <v>2</v>
      </c>
      <c r="M254" s="165">
        <v>0</v>
      </c>
      <c r="N254" s="165">
        <v>4</v>
      </c>
    </row>
    <row r="255" spans="1:14" ht="24" customHeight="1">
      <c r="A255" s="162">
        <v>4147</v>
      </c>
      <c r="B255" s="162" t="s">
        <v>777</v>
      </c>
      <c r="C255" s="165" t="s">
        <v>693</v>
      </c>
      <c r="D255" s="165" t="s">
        <v>714</v>
      </c>
      <c r="E255" s="165" t="s">
        <v>715</v>
      </c>
      <c r="F255" s="165">
        <v>3175748962</v>
      </c>
      <c r="G255" s="165" t="s">
        <v>716</v>
      </c>
      <c r="H255" s="169">
        <v>45931</v>
      </c>
      <c r="I255" s="165">
        <v>0</v>
      </c>
      <c r="J255" s="165">
        <v>3</v>
      </c>
      <c r="K255" s="165">
        <v>4</v>
      </c>
      <c r="L255" s="165">
        <v>2</v>
      </c>
      <c r="M255" s="165">
        <v>0</v>
      </c>
      <c r="N255" s="165">
        <v>3</v>
      </c>
    </row>
    <row r="256" spans="1:14" ht="24" customHeight="1">
      <c r="A256" s="163">
        <v>4147</v>
      </c>
      <c r="B256" s="163" t="s">
        <v>777</v>
      </c>
      <c r="C256" s="165" t="s">
        <v>693</v>
      </c>
      <c r="D256" s="165" t="s">
        <v>717</v>
      </c>
      <c r="E256" s="165" t="s">
        <v>718</v>
      </c>
      <c r="F256" s="165">
        <v>3166938242</v>
      </c>
      <c r="G256" s="165" t="s">
        <v>719</v>
      </c>
      <c r="H256" s="169">
        <v>45931</v>
      </c>
      <c r="I256" s="165">
        <v>0</v>
      </c>
      <c r="J256" s="165">
        <v>3</v>
      </c>
      <c r="K256" s="165">
        <v>4</v>
      </c>
      <c r="L256" s="165">
        <v>2</v>
      </c>
      <c r="M256" s="165">
        <v>0</v>
      </c>
      <c r="N256" s="165">
        <v>3</v>
      </c>
    </row>
    <row r="257" spans="1:14" ht="24" customHeight="1">
      <c r="A257" s="162">
        <v>4147</v>
      </c>
      <c r="B257" s="162" t="s">
        <v>777</v>
      </c>
      <c r="C257" s="165" t="s">
        <v>693</v>
      </c>
      <c r="D257" s="165" t="s">
        <v>720</v>
      </c>
      <c r="E257" s="165" t="s">
        <v>721</v>
      </c>
      <c r="F257" s="165">
        <v>3128806776</v>
      </c>
      <c r="G257" s="165" t="s">
        <v>716</v>
      </c>
      <c r="H257" s="169">
        <v>45931</v>
      </c>
      <c r="I257" s="165">
        <v>0</v>
      </c>
      <c r="J257" s="165">
        <v>1</v>
      </c>
      <c r="K257" s="165">
        <v>2</v>
      </c>
      <c r="L257" s="165">
        <v>2</v>
      </c>
      <c r="M257" s="165">
        <v>0</v>
      </c>
      <c r="N257" s="165">
        <v>1</v>
      </c>
    </row>
    <row r="258" spans="1:14" ht="24" customHeight="1">
      <c r="A258" s="163">
        <v>4147</v>
      </c>
      <c r="B258" s="163" t="s">
        <v>777</v>
      </c>
      <c r="C258" s="165" t="s">
        <v>693</v>
      </c>
      <c r="D258" s="165" t="s">
        <v>722</v>
      </c>
      <c r="E258" s="165" t="s">
        <v>723</v>
      </c>
      <c r="F258" s="165">
        <v>3004277371</v>
      </c>
      <c r="G258" s="165" t="s">
        <v>716</v>
      </c>
      <c r="H258" s="169">
        <v>45931</v>
      </c>
      <c r="I258" s="165">
        <v>0</v>
      </c>
      <c r="J258" s="165">
        <v>1</v>
      </c>
      <c r="K258" s="165">
        <v>2</v>
      </c>
      <c r="L258" s="165">
        <v>2</v>
      </c>
      <c r="M258" s="165">
        <v>0</v>
      </c>
      <c r="N258" s="165">
        <v>2</v>
      </c>
    </row>
    <row r="259" spans="1:14" ht="24" customHeight="1">
      <c r="A259" s="162">
        <v>4147</v>
      </c>
      <c r="B259" s="162" t="s">
        <v>777</v>
      </c>
      <c r="C259" s="165" t="s">
        <v>693</v>
      </c>
      <c r="D259" s="165" t="s">
        <v>724</v>
      </c>
      <c r="E259" s="165" t="s">
        <v>725</v>
      </c>
      <c r="F259" s="165">
        <v>3157028940</v>
      </c>
      <c r="G259" s="165" t="s">
        <v>726</v>
      </c>
      <c r="H259" s="169">
        <v>45931</v>
      </c>
      <c r="I259" s="165">
        <v>0</v>
      </c>
      <c r="J259" s="165">
        <v>2</v>
      </c>
      <c r="K259" s="165">
        <v>3</v>
      </c>
      <c r="L259" s="165">
        <v>2</v>
      </c>
      <c r="M259" s="165">
        <v>0</v>
      </c>
      <c r="N259" s="165">
        <v>2</v>
      </c>
    </row>
    <row r="260" spans="1:14" ht="24" customHeight="1">
      <c r="A260" s="163">
        <v>4147</v>
      </c>
      <c r="B260" s="163" t="s">
        <v>777</v>
      </c>
      <c r="C260" s="165" t="s">
        <v>727</v>
      </c>
      <c r="D260" s="165" t="s">
        <v>728</v>
      </c>
      <c r="E260" s="165" t="s">
        <v>729</v>
      </c>
      <c r="F260" s="165">
        <v>3023620259</v>
      </c>
      <c r="G260" s="165">
        <v>3</v>
      </c>
      <c r="H260" s="169">
        <v>45931</v>
      </c>
      <c r="I260" s="165">
        <v>0</v>
      </c>
      <c r="J260" s="165">
        <v>3</v>
      </c>
      <c r="K260" s="165">
        <v>4</v>
      </c>
      <c r="L260" s="165">
        <v>5</v>
      </c>
      <c r="M260" s="165">
        <v>0</v>
      </c>
      <c r="N260" s="165">
        <v>5</v>
      </c>
    </row>
    <row r="261" spans="1:14" ht="24" customHeight="1">
      <c r="A261" s="162">
        <v>4147</v>
      </c>
      <c r="B261" s="162" t="s">
        <v>777</v>
      </c>
      <c r="C261" s="165" t="s">
        <v>727</v>
      </c>
      <c r="D261" s="165" t="s">
        <v>730</v>
      </c>
      <c r="E261" s="165" t="s">
        <v>731</v>
      </c>
      <c r="F261" s="165">
        <v>3148960262</v>
      </c>
      <c r="G261" s="165">
        <v>22</v>
      </c>
      <c r="H261" s="169">
        <v>45931</v>
      </c>
      <c r="I261" s="165">
        <v>0</v>
      </c>
      <c r="J261" s="165">
        <v>3</v>
      </c>
      <c r="K261" s="165">
        <v>4</v>
      </c>
      <c r="L261" s="165">
        <v>2</v>
      </c>
      <c r="M261" s="165">
        <v>0</v>
      </c>
      <c r="N261" s="165">
        <v>3</v>
      </c>
    </row>
    <row r="262" spans="1:14" ht="24" customHeight="1">
      <c r="A262" s="163">
        <v>4147</v>
      </c>
      <c r="B262" s="163" t="s">
        <v>777</v>
      </c>
      <c r="C262" s="165" t="s">
        <v>727</v>
      </c>
      <c r="D262" s="165" t="s">
        <v>732</v>
      </c>
      <c r="E262" s="165" t="s">
        <v>733</v>
      </c>
      <c r="F262" s="165">
        <v>3166294370</v>
      </c>
      <c r="G262" s="165">
        <v>8</v>
      </c>
      <c r="H262" s="169">
        <v>45931</v>
      </c>
      <c r="I262" s="165">
        <v>0</v>
      </c>
      <c r="J262" s="165">
        <v>3</v>
      </c>
      <c r="K262" s="165">
        <v>4</v>
      </c>
      <c r="L262" s="165">
        <v>2</v>
      </c>
      <c r="M262" s="165">
        <v>0</v>
      </c>
      <c r="N262" s="165">
        <v>3</v>
      </c>
    </row>
    <row r="263" spans="1:14" ht="24" customHeight="1">
      <c r="A263" s="162">
        <v>4147</v>
      </c>
      <c r="B263" s="162" t="s">
        <v>777</v>
      </c>
      <c r="C263" s="165" t="s">
        <v>727</v>
      </c>
      <c r="D263" s="165" t="s">
        <v>734</v>
      </c>
      <c r="E263" s="165" t="s">
        <v>735</v>
      </c>
      <c r="F263" s="165">
        <v>3187945890</v>
      </c>
      <c r="G263" s="165">
        <v>9</v>
      </c>
      <c r="H263" s="169">
        <v>45931</v>
      </c>
      <c r="I263" s="165">
        <v>0</v>
      </c>
      <c r="J263" s="165">
        <v>4</v>
      </c>
      <c r="K263" s="165">
        <v>5</v>
      </c>
      <c r="L263" s="165">
        <v>3</v>
      </c>
      <c r="M263" s="165">
        <v>0</v>
      </c>
      <c r="N263" s="165">
        <v>4</v>
      </c>
    </row>
    <row r="264" spans="1:14" ht="24" customHeight="1">
      <c r="A264" s="163">
        <v>4147</v>
      </c>
      <c r="B264" s="163" t="s">
        <v>777</v>
      </c>
      <c r="C264" s="165" t="s">
        <v>727</v>
      </c>
      <c r="D264" s="165" t="s">
        <v>736</v>
      </c>
      <c r="E264" s="165" t="s">
        <v>737</v>
      </c>
      <c r="F264" s="165">
        <v>3126289976</v>
      </c>
      <c r="G264" s="165">
        <v>5</v>
      </c>
      <c r="H264" s="169">
        <v>45931</v>
      </c>
      <c r="I264" s="165">
        <v>0</v>
      </c>
      <c r="J264" s="165">
        <v>3</v>
      </c>
      <c r="K264" s="165">
        <v>4</v>
      </c>
      <c r="L264" s="165">
        <v>2</v>
      </c>
      <c r="M264" s="165">
        <v>0</v>
      </c>
      <c r="N264" s="165">
        <v>3</v>
      </c>
    </row>
    <row r="265" spans="1:14" ht="24" customHeight="1">
      <c r="A265" s="162">
        <v>4147</v>
      </c>
      <c r="B265" s="162" t="s">
        <v>777</v>
      </c>
      <c r="C265" s="165" t="s">
        <v>727</v>
      </c>
      <c r="D265" s="165" t="s">
        <v>738</v>
      </c>
      <c r="E265" s="165" t="s">
        <v>739</v>
      </c>
      <c r="F265" s="165">
        <v>3183396596</v>
      </c>
      <c r="G265" s="165">
        <v>20</v>
      </c>
      <c r="H265" s="169">
        <v>45931</v>
      </c>
      <c r="I265" s="165">
        <v>0</v>
      </c>
      <c r="J265" s="165">
        <v>4</v>
      </c>
      <c r="K265" s="165">
        <v>5</v>
      </c>
      <c r="L265" s="165">
        <v>2</v>
      </c>
      <c r="M265" s="165">
        <v>0</v>
      </c>
      <c r="N265" s="165">
        <v>4</v>
      </c>
    </row>
    <row r="266" spans="1:14" ht="24" customHeight="1">
      <c r="A266" s="163">
        <v>4147</v>
      </c>
      <c r="B266" s="163" t="s">
        <v>777</v>
      </c>
      <c r="C266" s="165" t="s">
        <v>727</v>
      </c>
      <c r="D266" s="165" t="s">
        <v>740</v>
      </c>
      <c r="E266" s="165" t="s">
        <v>741</v>
      </c>
      <c r="F266" s="165">
        <v>3108014829</v>
      </c>
      <c r="G266" s="165">
        <v>12</v>
      </c>
      <c r="H266" s="169">
        <v>45931</v>
      </c>
      <c r="I266" s="165">
        <v>0</v>
      </c>
      <c r="J266" s="165">
        <v>3</v>
      </c>
      <c r="K266" s="165">
        <v>4</v>
      </c>
      <c r="L266" s="165">
        <v>1</v>
      </c>
      <c r="M266" s="165">
        <v>0</v>
      </c>
      <c r="N266" s="165">
        <v>4</v>
      </c>
    </row>
    <row r="267" spans="1:14" ht="24" customHeight="1">
      <c r="A267" s="162">
        <v>4147</v>
      </c>
      <c r="B267" s="162" t="s">
        <v>777</v>
      </c>
      <c r="C267" s="165" t="s">
        <v>727</v>
      </c>
      <c r="D267" s="165" t="s">
        <v>742</v>
      </c>
      <c r="E267" s="165" t="s">
        <v>743</v>
      </c>
      <c r="F267" s="165">
        <v>3127063096</v>
      </c>
      <c r="G267" s="165">
        <v>10</v>
      </c>
      <c r="H267" s="169">
        <v>45931</v>
      </c>
      <c r="I267" s="165">
        <v>0</v>
      </c>
      <c r="J267" s="165">
        <v>3</v>
      </c>
      <c r="K267" s="165">
        <v>4</v>
      </c>
      <c r="L267" s="165">
        <v>2</v>
      </c>
      <c r="M267" s="165">
        <v>0</v>
      </c>
      <c r="N267" s="165">
        <v>4</v>
      </c>
    </row>
    <row r="268" spans="1:14" ht="24" customHeight="1">
      <c r="A268" s="163">
        <v>4147</v>
      </c>
      <c r="B268" s="163" t="s">
        <v>777</v>
      </c>
      <c r="C268" s="165" t="s">
        <v>727</v>
      </c>
      <c r="D268" s="165" t="s">
        <v>744</v>
      </c>
      <c r="E268" s="165" t="s">
        <v>745</v>
      </c>
      <c r="F268" s="165">
        <v>3154224720</v>
      </c>
      <c r="G268" s="165">
        <v>8</v>
      </c>
      <c r="H268" s="169">
        <v>45931</v>
      </c>
      <c r="I268" s="165">
        <v>0</v>
      </c>
      <c r="J268" s="165">
        <v>3</v>
      </c>
      <c r="K268" s="165">
        <v>4</v>
      </c>
      <c r="L268" s="165">
        <v>2</v>
      </c>
      <c r="M268" s="165">
        <v>0</v>
      </c>
      <c r="N268" s="165">
        <v>3</v>
      </c>
    </row>
    <row r="269" spans="1:14" ht="24" customHeight="1">
      <c r="A269" s="162">
        <v>4147</v>
      </c>
      <c r="B269" s="162" t="s">
        <v>777</v>
      </c>
      <c r="C269" s="165" t="s">
        <v>727</v>
      </c>
      <c r="D269" s="165" t="s">
        <v>746</v>
      </c>
      <c r="E269" s="165" t="s">
        <v>747</v>
      </c>
      <c r="F269" s="165">
        <v>3128849695</v>
      </c>
      <c r="G269" s="165">
        <v>6</v>
      </c>
      <c r="H269" s="169">
        <v>45931</v>
      </c>
      <c r="I269" s="165">
        <v>0</v>
      </c>
      <c r="J269" s="165">
        <v>3</v>
      </c>
      <c r="K269" s="165">
        <v>4</v>
      </c>
      <c r="L269" s="165">
        <v>3</v>
      </c>
      <c r="M269" s="165">
        <v>0</v>
      </c>
      <c r="N269" s="165">
        <v>3</v>
      </c>
    </row>
    <row r="270" spans="1:14" ht="24" customHeight="1">
      <c r="A270" s="163">
        <v>4147</v>
      </c>
      <c r="B270" s="163" t="s">
        <v>777</v>
      </c>
      <c r="C270" s="165" t="s">
        <v>727</v>
      </c>
      <c r="D270" s="165" t="s">
        <v>748</v>
      </c>
      <c r="E270" s="165" t="s">
        <v>749</v>
      </c>
      <c r="F270" s="165">
        <v>3135214112</v>
      </c>
      <c r="G270" s="165">
        <v>0</v>
      </c>
      <c r="H270" s="169">
        <v>45931</v>
      </c>
      <c r="I270" s="165">
        <v>0</v>
      </c>
      <c r="J270" s="165">
        <v>2</v>
      </c>
      <c r="K270" s="165">
        <v>3</v>
      </c>
      <c r="L270" s="165">
        <v>1</v>
      </c>
      <c r="M270" s="165">
        <v>0</v>
      </c>
      <c r="N270" s="165">
        <v>2</v>
      </c>
    </row>
    <row r="271" spans="1:14" ht="24" customHeight="1">
      <c r="A271" s="162">
        <v>4147</v>
      </c>
      <c r="B271" s="162" t="s">
        <v>777</v>
      </c>
      <c r="C271" s="165" t="s">
        <v>727</v>
      </c>
      <c r="D271" s="165" t="s">
        <v>750</v>
      </c>
      <c r="E271" s="165" t="s">
        <v>751</v>
      </c>
      <c r="F271" s="165">
        <v>3128109597</v>
      </c>
      <c r="G271" s="165">
        <v>0</v>
      </c>
      <c r="H271" s="169">
        <v>45931</v>
      </c>
      <c r="I271" s="165">
        <v>0</v>
      </c>
      <c r="J271" s="165">
        <v>2</v>
      </c>
      <c r="K271" s="165">
        <v>3</v>
      </c>
      <c r="L271" s="165">
        <v>2</v>
      </c>
      <c r="M271" s="165">
        <v>0</v>
      </c>
      <c r="N271" s="165">
        <v>2</v>
      </c>
    </row>
    <row r="272" spans="1:14" ht="24" customHeight="1">
      <c r="A272" s="163">
        <v>4147</v>
      </c>
      <c r="B272" s="163" t="s">
        <v>777</v>
      </c>
      <c r="C272" s="165" t="s">
        <v>752</v>
      </c>
      <c r="D272" s="165" t="s">
        <v>753</v>
      </c>
      <c r="E272" s="165" t="s">
        <v>754</v>
      </c>
      <c r="F272" s="165">
        <v>3137373069</v>
      </c>
      <c r="G272" s="165">
        <v>15</v>
      </c>
      <c r="H272" s="169">
        <v>45931</v>
      </c>
      <c r="I272" s="165">
        <v>4</v>
      </c>
      <c r="J272" s="165">
        <v>0</v>
      </c>
      <c r="K272" s="165">
        <v>1</v>
      </c>
      <c r="L272" s="165">
        <v>3</v>
      </c>
      <c r="M272" s="165">
        <v>0</v>
      </c>
      <c r="N272" s="165">
        <v>3</v>
      </c>
    </row>
    <row r="273" spans="1:14" ht="24" customHeight="1">
      <c r="A273" s="162">
        <v>4147</v>
      </c>
      <c r="B273" s="162" t="s">
        <v>777</v>
      </c>
      <c r="C273" s="165" t="s">
        <v>752</v>
      </c>
      <c r="D273" s="165" t="s">
        <v>755</v>
      </c>
      <c r="E273" s="165" t="s">
        <v>756</v>
      </c>
      <c r="F273" s="165">
        <v>3128339979</v>
      </c>
      <c r="G273" s="165">
        <v>11</v>
      </c>
      <c r="H273" s="169">
        <v>45931</v>
      </c>
      <c r="I273" s="165">
        <v>0</v>
      </c>
      <c r="J273" s="165">
        <v>3</v>
      </c>
      <c r="K273" s="165">
        <v>4</v>
      </c>
      <c r="L273" s="165">
        <v>3</v>
      </c>
      <c r="M273" s="165">
        <v>0</v>
      </c>
      <c r="N273" s="165">
        <v>3</v>
      </c>
    </row>
    <row r="274" spans="1:14" ht="24" customHeight="1">
      <c r="A274" s="163">
        <v>4147</v>
      </c>
      <c r="B274" s="163" t="s">
        <v>777</v>
      </c>
      <c r="C274" s="165" t="s">
        <v>757</v>
      </c>
      <c r="D274" s="165" t="s">
        <v>758</v>
      </c>
      <c r="E274" s="165" t="s">
        <v>759</v>
      </c>
      <c r="F274" s="165">
        <v>3002765771</v>
      </c>
      <c r="G274" s="165">
        <v>10</v>
      </c>
      <c r="H274" s="169">
        <v>45444</v>
      </c>
      <c r="I274" s="165">
        <v>0</v>
      </c>
      <c r="J274" s="165">
        <v>4</v>
      </c>
      <c r="K274" s="165">
        <v>5</v>
      </c>
      <c r="L274" s="165">
        <v>6</v>
      </c>
      <c r="M274" s="165">
        <v>1</v>
      </c>
      <c r="N274" s="165">
        <v>5</v>
      </c>
    </row>
    <row r="275" spans="1:14" ht="24" customHeight="1">
      <c r="A275" s="162">
        <v>4147</v>
      </c>
      <c r="B275" s="162" t="s">
        <v>777</v>
      </c>
      <c r="C275" s="165" t="s">
        <v>757</v>
      </c>
      <c r="D275" s="165" t="s">
        <v>760</v>
      </c>
      <c r="E275" s="165" t="s">
        <v>761</v>
      </c>
      <c r="F275" s="165">
        <v>3116030144</v>
      </c>
      <c r="G275" s="165"/>
      <c r="H275" s="169"/>
      <c r="I275" s="165">
        <v>0</v>
      </c>
      <c r="J275" s="165">
        <v>0</v>
      </c>
      <c r="K275" s="165" t="s">
        <v>808</v>
      </c>
      <c r="L275" s="165">
        <v>0</v>
      </c>
      <c r="M275" s="165">
        <v>0</v>
      </c>
      <c r="N275" s="165">
        <v>0</v>
      </c>
    </row>
    <row r="276" spans="1:14" ht="24" customHeight="1">
      <c r="A276" s="163">
        <v>4147</v>
      </c>
      <c r="B276" s="163" t="s">
        <v>777</v>
      </c>
      <c r="C276" s="165" t="s">
        <v>757</v>
      </c>
      <c r="D276" s="165" t="s">
        <v>762</v>
      </c>
      <c r="E276" s="165" t="s">
        <v>763</v>
      </c>
      <c r="F276" s="165">
        <v>3052272225</v>
      </c>
      <c r="G276" s="165">
        <v>0</v>
      </c>
      <c r="H276" s="169">
        <v>45748</v>
      </c>
      <c r="I276" s="165">
        <v>0</v>
      </c>
      <c r="J276" s="165">
        <v>2</v>
      </c>
      <c r="K276" s="165">
        <v>3</v>
      </c>
      <c r="L276" s="165">
        <v>2</v>
      </c>
      <c r="M276" s="165">
        <v>1</v>
      </c>
      <c r="N276" s="165">
        <v>2</v>
      </c>
    </row>
    <row r="277" spans="1:14" ht="24" customHeight="1">
      <c r="A277" s="162">
        <v>4147</v>
      </c>
      <c r="B277" s="162" t="s">
        <v>777</v>
      </c>
      <c r="C277" s="165" t="s">
        <v>764</v>
      </c>
      <c r="D277" s="165" t="s">
        <v>765</v>
      </c>
      <c r="E277" s="165" t="s">
        <v>766</v>
      </c>
      <c r="F277" s="165" t="s">
        <v>767</v>
      </c>
      <c r="G277" s="165"/>
      <c r="H277" s="169"/>
      <c r="I277" s="165">
        <v>0</v>
      </c>
      <c r="J277" s="165">
        <v>4</v>
      </c>
      <c r="K277" s="165">
        <v>5</v>
      </c>
      <c r="L277" s="165">
        <v>0</v>
      </c>
      <c r="M277" s="165">
        <v>0</v>
      </c>
      <c r="N277" s="165">
        <v>0</v>
      </c>
    </row>
    <row r="278" spans="1:14" ht="24" customHeight="1">
      <c r="A278" s="163">
        <v>4147</v>
      </c>
      <c r="B278" s="163" t="s">
        <v>777</v>
      </c>
      <c r="C278" s="165" t="s">
        <v>768</v>
      </c>
      <c r="D278" s="165" t="s">
        <v>769</v>
      </c>
      <c r="E278" s="165" t="s">
        <v>770</v>
      </c>
      <c r="F278" s="165" t="s">
        <v>771</v>
      </c>
      <c r="G278" s="165"/>
      <c r="H278" s="169"/>
      <c r="I278" s="165">
        <v>0</v>
      </c>
      <c r="J278" s="165">
        <v>3</v>
      </c>
      <c r="K278" s="165">
        <v>4</v>
      </c>
      <c r="L278" s="165">
        <v>1</v>
      </c>
      <c r="M278" s="165">
        <v>0</v>
      </c>
      <c r="N278" s="165">
        <v>3</v>
      </c>
    </row>
    <row r="279" spans="1:14" ht="24" customHeight="1">
      <c r="A279" s="162">
        <v>4147</v>
      </c>
      <c r="B279" s="162" t="s">
        <v>777</v>
      </c>
      <c r="C279" s="165" t="s">
        <v>768</v>
      </c>
      <c r="D279" s="165" t="s">
        <v>772</v>
      </c>
      <c r="E279" s="165" t="s">
        <v>773</v>
      </c>
      <c r="F279" s="165" t="s">
        <v>771</v>
      </c>
      <c r="G279" s="165"/>
      <c r="H279" s="169"/>
      <c r="I279" s="165">
        <v>0</v>
      </c>
      <c r="J279" s="165">
        <v>4</v>
      </c>
      <c r="K279" s="165">
        <v>5</v>
      </c>
      <c r="L279" s="165">
        <v>1</v>
      </c>
      <c r="M279" s="165">
        <v>0</v>
      </c>
      <c r="N279" s="165">
        <v>4</v>
      </c>
    </row>
    <row r="280" spans="1:14" ht="24" customHeight="1">
      <c r="A280" s="163">
        <v>4147</v>
      </c>
      <c r="B280" s="163" t="s">
        <v>777</v>
      </c>
      <c r="C280" s="165" t="s">
        <v>768</v>
      </c>
      <c r="D280" s="165" t="s">
        <v>760</v>
      </c>
      <c r="E280" s="165" t="s">
        <v>761</v>
      </c>
      <c r="F280" s="165">
        <v>3116030144</v>
      </c>
      <c r="G280" s="165"/>
      <c r="H280" s="169"/>
      <c r="I280" s="165">
        <v>0</v>
      </c>
      <c r="J280" s="165">
        <v>3</v>
      </c>
      <c r="K280" s="165">
        <v>4</v>
      </c>
      <c r="L280" s="165">
        <v>1</v>
      </c>
      <c r="M280" s="165">
        <v>0</v>
      </c>
      <c r="N280" s="165">
        <v>3</v>
      </c>
    </row>
    <row r="281" spans="1:14" ht="24" customHeight="1">
      <c r="A281" s="162">
        <v>4147</v>
      </c>
      <c r="B281" s="162" t="s">
        <v>777</v>
      </c>
      <c r="C281" s="165" t="s">
        <v>764</v>
      </c>
      <c r="D281" s="165" t="s">
        <v>774</v>
      </c>
      <c r="E281" s="165" t="s">
        <v>775</v>
      </c>
      <c r="F281" s="165" t="s">
        <v>776</v>
      </c>
      <c r="G281" s="165"/>
      <c r="H281" s="169"/>
      <c r="I281" s="165">
        <v>0</v>
      </c>
      <c r="J281" s="165">
        <v>4</v>
      </c>
      <c r="K281" s="165">
        <v>5</v>
      </c>
      <c r="L281" s="165">
        <v>0</v>
      </c>
      <c r="M281" s="165">
        <v>0</v>
      </c>
      <c r="N281" s="165">
        <v>0</v>
      </c>
    </row>
    <row r="282" spans="1:14" ht="24" customHeight="1">
      <c r="A282" s="163">
        <v>4183</v>
      </c>
      <c r="B282" s="163" t="s">
        <v>790</v>
      </c>
      <c r="C282" s="165" t="s">
        <v>76</v>
      </c>
      <c r="D282" s="165" t="s">
        <v>778</v>
      </c>
      <c r="E282" s="165" t="s">
        <v>779</v>
      </c>
      <c r="F282" s="165">
        <v>3127789577</v>
      </c>
      <c r="G282" s="165">
        <v>20</v>
      </c>
      <c r="H282" s="169">
        <v>45870</v>
      </c>
      <c r="I282" s="165">
        <v>0</v>
      </c>
      <c r="J282" s="165">
        <v>4</v>
      </c>
      <c r="K282" s="165">
        <v>5</v>
      </c>
      <c r="L282" s="165">
        <v>6</v>
      </c>
      <c r="M282" s="165">
        <v>0</v>
      </c>
      <c r="N282" s="165">
        <v>4</v>
      </c>
    </row>
    <row r="283" spans="1:14" ht="24" customHeight="1">
      <c r="A283" s="162">
        <v>4183</v>
      </c>
      <c r="B283" s="162" t="s">
        <v>790</v>
      </c>
      <c r="C283" s="165" t="s">
        <v>781</v>
      </c>
      <c r="D283" s="165" t="s">
        <v>782</v>
      </c>
      <c r="E283" s="165" t="s">
        <v>783</v>
      </c>
      <c r="F283" s="165">
        <v>3187195724</v>
      </c>
      <c r="G283" s="165">
        <v>7</v>
      </c>
      <c r="H283" s="169">
        <v>45870</v>
      </c>
      <c r="I283" s="165">
        <v>0</v>
      </c>
      <c r="J283" s="165">
        <v>4</v>
      </c>
      <c r="K283" s="165">
        <v>5</v>
      </c>
      <c r="L283" s="165">
        <v>5</v>
      </c>
      <c r="M283" s="165">
        <v>0</v>
      </c>
      <c r="N283" s="165">
        <v>5</v>
      </c>
    </row>
    <row r="284" spans="1:14" ht="24" customHeight="1">
      <c r="A284" s="163">
        <v>4183</v>
      </c>
      <c r="B284" s="163" t="s">
        <v>790</v>
      </c>
      <c r="C284" s="165" t="s">
        <v>784</v>
      </c>
      <c r="D284" s="165" t="s">
        <v>785</v>
      </c>
      <c r="E284" s="165" t="s">
        <v>786</v>
      </c>
      <c r="F284" s="165">
        <v>3102813721</v>
      </c>
      <c r="G284" s="165">
        <v>7</v>
      </c>
      <c r="H284" s="169">
        <v>45383</v>
      </c>
      <c r="I284" s="165">
        <v>0</v>
      </c>
      <c r="J284" s="165">
        <v>2</v>
      </c>
      <c r="K284" s="165">
        <v>3</v>
      </c>
      <c r="L284" s="165">
        <v>5</v>
      </c>
      <c r="M284" s="165">
        <v>0</v>
      </c>
      <c r="N284" s="165">
        <v>3</v>
      </c>
    </row>
    <row r="285" spans="1:14" ht="24" customHeight="1">
      <c r="A285" s="162">
        <v>4183</v>
      </c>
      <c r="B285" s="162" t="s">
        <v>790</v>
      </c>
      <c r="C285" s="165" t="s">
        <v>787</v>
      </c>
      <c r="D285" s="165" t="s">
        <v>788</v>
      </c>
      <c r="E285" s="165" t="s">
        <v>789</v>
      </c>
      <c r="F285" s="165">
        <v>3164678746</v>
      </c>
      <c r="G285" s="165">
        <v>20</v>
      </c>
      <c r="H285" s="169">
        <v>45870</v>
      </c>
      <c r="I285" s="165">
        <v>0</v>
      </c>
      <c r="J285" s="165">
        <v>4</v>
      </c>
      <c r="K285" s="165">
        <v>5</v>
      </c>
      <c r="L285" s="165">
        <v>5</v>
      </c>
      <c r="M285" s="165">
        <v>0</v>
      </c>
      <c r="N285" s="165">
        <v>6</v>
      </c>
    </row>
    <row r="286" spans="1:14" ht="24" customHeight="1">
      <c r="A286" s="163">
        <v>4182</v>
      </c>
      <c r="B286" s="163" t="s">
        <v>794</v>
      </c>
      <c r="C286" s="165" t="s">
        <v>791</v>
      </c>
      <c r="D286" s="165" t="s">
        <v>792</v>
      </c>
      <c r="E286" s="165" t="s">
        <v>793</v>
      </c>
      <c r="F286" s="165">
        <v>3126961214</v>
      </c>
      <c r="G286" s="165">
        <v>7</v>
      </c>
      <c r="H286" s="169">
        <v>45861</v>
      </c>
      <c r="I286" s="165">
        <v>0</v>
      </c>
      <c r="J286" s="165">
        <v>4</v>
      </c>
      <c r="K286" s="165">
        <v>5</v>
      </c>
      <c r="L286" s="165">
        <v>6</v>
      </c>
      <c r="M286" s="165">
        <v>0</v>
      </c>
      <c r="N286" s="165">
        <v>4</v>
      </c>
    </row>
  </sheetData>
  <hyperlinks>
    <hyperlink ref="E16" r:id="rId1" display="mailto:calidad.dacp@cali.gov.co" xr:uid="{E29F2031-BBB0-42CF-986B-886302397D03}"/>
    <hyperlink ref="E17" r:id="rId2" display="mailto:jonatan.paez@cali.gov.co" xr:uid="{C6E5CB1D-A5FD-4BB3-9025-76A86A397EC9}"/>
    <hyperlink ref="E18" r:id="rId3" display="mailto:lucia.jaramillo@cali.gov.co" xr:uid="{9A10F162-49FA-402A-AB7E-A25B8A1B5BA6}"/>
    <hyperlink ref="E19" r:id="rId4" display="mailto:lina.castro@cali.gov.co" xr:uid="{CC043EFE-0500-43DA-BC8C-DC89990FEBC5}"/>
    <hyperlink ref="E50" r:id="rId5" display="mailto:carlos.daza@cali.gov.co" xr:uid="{46EF28B4-2EB7-4C0F-A3FE-86AE10347336}"/>
    <hyperlink ref="E51" r:id="rId6" display="mailto:marcela.guerrero@cali.gov.co" xr:uid="{3EEDC71D-C1E8-44C2-AD6E-4FF7ED549D6D}"/>
    <hyperlink ref="E52" r:id="rId7" display="mailto:yolanda.rayo@cali.gov.co" xr:uid="{6A6D1809-868F-4F85-AD41-9DA0E504DD98}"/>
    <hyperlink ref="E53" r:id="rId8" display="mailto:yenni.angel@cali.gov.co" xr:uid="{98F021CA-74BE-4D72-90D0-E324BEB361BB}"/>
    <hyperlink ref="E54" r:id="rId9" display="mailto:cesar.morantes@cali.gov.co" xr:uid="{731CDEA9-4856-466B-B3C1-B0C5F09C9C49}"/>
    <hyperlink ref="E62" r:id="rId10" display="mailto:edmundo.rengifo@cali.gov.co" xr:uid="{5F310F81-C477-4418-84D4-D0E688DC6F4D}"/>
    <hyperlink ref="E63" r:id="rId11" display="mailto:alexander.chavez@cali.gov.co" xr:uid="{3C50B369-8CAE-4D54-8386-28725FDFD5D0}"/>
    <hyperlink ref="E64" r:id="rId12" display="mailto:andresaranalopez@gmail.com" xr:uid="{153CC0F2-F6D4-40E7-A30B-74FE00B402CA}"/>
    <hyperlink ref="E65" r:id="rId13" display="mailto:gmurielcartografia@gmail.com" xr:uid="{59BAC688-7143-4C59-8586-C53EC3706F13}"/>
    <hyperlink ref="E66" r:id="rId14" display="mailto:leo_dr94@hotmail.com" xr:uid="{A5CE866E-0DB9-474D-A97B-41F0CF01A66C}"/>
    <hyperlink ref="E67" r:id="rId15" display="mailto:marieta1577@gmail.com" xr:uid="{77E712FA-69FD-4876-B524-C3895F8DF125}"/>
    <hyperlink ref="E68" r:id="rId16" display="mailto:Douglax796@gmail.com" xr:uid="{A83CF52C-7074-4995-B764-22BB31D780CA}"/>
    <hyperlink ref="E69" r:id="rId17" display="mailto:danielacuencaplaneacion@gmail.com" xr:uid="{F5065E45-6A97-473B-8D6B-6FE76440B754}"/>
    <hyperlink ref="E70" r:id="rId18" display="mailto:danielacuencaplaneacion@gmail.com" xr:uid="{8206A209-2B4E-4183-808B-F8011B8FAF0F}"/>
    <hyperlink ref="E123" r:id="rId19" display="mailto:carlos.torres.ric@cali.gov.co" xr:uid="{3E6D90F5-6C12-4DA8-9AE9-E93265475B6E}"/>
    <hyperlink ref="E124" r:id="rId20" display="mailto:caporali79@gmail.com" xr:uid="{A9845018-A4D9-492D-A5AC-1237068824A8}"/>
    <hyperlink ref="E146" r:id="rId21" display="mailto:estadisticarpbc@cali.gov.co" xr:uid="{6EC7CACC-6E2B-4816-AA8A-AADCE1E2D767}"/>
    <hyperlink ref="E147" r:id="rId22" display="mailto:observatorio.cultura@cali.gov.co" xr:uid="{EAE596E1-1F21-4F72-A4BE-FA5151646810}"/>
    <hyperlink ref="E155" r:id="rId23" display="mailto:angela.gonzalez@cali.gov.co" xr:uid="{5A2F09AD-8F9F-4692-AF7B-150FD1BC026D}"/>
    <hyperlink ref="E157" r:id="rId24" display="mailto:francia.velasquez@cali.gov.co" xr:uid="{B9A1D07E-563D-4D20-B4DC-B1510B0F6BA0}"/>
    <hyperlink ref="E158" r:id="rId25" display="mailto:jhonn.rodriguez@cali.gov.co" xr:uid="{6982D04E-7ED7-498B-B19D-8E3A79269634}"/>
    <hyperlink ref="E159" r:id="rId26" display="mailto:katherine.sanchez@cali.gov.co" xr:uid="{BAFB31AB-76A4-4A4A-B70D-7D98A05E37A8}"/>
    <hyperlink ref="E160" r:id="rId27" display="mailto:luz.pineda@cali.gov.co" xr:uid="{75BE5FE4-EE81-4485-888B-DDAC8670C27B}"/>
    <hyperlink ref="E162" r:id="rId28" display="mailto:marisol.torres@cali.gov.co" xr:uid="{93D99DE8-DC6D-4C84-A6A1-DD1A787916C2}"/>
    <hyperlink ref="E163" r:id="rId29" display="mailto:julian.victoria@cali.gov.co" xr:uid="{C8332953-9FCF-4255-A533-60F4B33C6BA6}"/>
    <hyperlink ref="E164" r:id="rId30" display="mailto:alicia.torres@cali.gov.co" xr:uid="{D148CCF2-0B32-4B23-9C66-D9675E08233D}"/>
    <hyperlink ref="E165" r:id="rId31" display="mailto:luz.araque@cali.gov.co" xr:uid="{06D683A2-AD8B-4CBD-B30C-44E4C272559D}"/>
    <hyperlink ref="E167" r:id="rId32" display="mailto:ana.c.palma7@gmail.com" xr:uid="{AFE5341E-BB76-45CA-8F28-D862133C3B2A}"/>
    <hyperlink ref="E168" r:id="rId33" display="mailto:adriana.quinones@cali.edu.co" xr:uid="{9F7A9E09-2465-42AE-9CED-8EB97074C37C}"/>
    <hyperlink ref="E171" r:id="rId34" display="http://breygtner.candelo.cali.edu.co/" xr:uid="{311D3F21-93D9-41F1-BB13-48F89A9B3ABE}"/>
    <hyperlink ref="E175" r:id="rId35" display="mailto:maria.pedraza@cali.gov.co" xr:uid="{C9B0C393-0807-449F-A486-BAEDD9EBE116}"/>
    <hyperlink ref="E176" r:id="rId36" display="mailto:andres.pereira@cali.gov.co" xr:uid="{9D030972-F8A6-4AD9-9C14-D9B7C20770AB}"/>
    <hyperlink ref="E177" r:id="rId37" display="mailto:infraestructura1612@gmail.com" xr:uid="{1B041D23-2A77-405C-93FB-B600FD064489}"/>
    <hyperlink ref="E178" r:id="rId38" display="mailto:aura.quintero@cali.gov.co" xr:uid="{FE6056BD-7B99-443A-81E1-6B602F867637}"/>
    <hyperlink ref="E179" r:id="rId39" display="mailto:santiago.sanchez@cali.gov.co" xr:uid="{01CCFDE9-F9DB-4AE0-846E-14BBA6BD6BAC}"/>
    <hyperlink ref="E180" r:id="rId40" display="mailto:vivian.aranzalez@cali.gov.co" xr:uid="{F900FB48-5DA2-4A02-8950-9014FA552B9F}"/>
    <hyperlink ref="E181" r:id="rId41" display="mailto:fabian.prado@cali.gov.co" xr:uid="{0161ADB0-246F-4538-8784-99D5907F8271}"/>
    <hyperlink ref="E182" r:id="rId42" display="mailto:konguevara@hotmail.com" xr:uid="{966E2144-0A58-4F4A-A4AC-43753C9FE368}"/>
    <hyperlink ref="E203" r:id="rId43" display="mailto:victomu@gmail.com" xr:uid="{B6902F2B-7514-4277-A2A4-0401F8A9F69C}"/>
    <hyperlink ref="E204" r:id="rId44" display="mailto:eduardo.varela@cali.gov.co" xr:uid="{E97633E1-A43F-4A63-8BA6-F269621C87C5}"/>
    <hyperlink ref="E205" r:id="rId45" display="mailto:luis.gonzaga@cali.gov.co" xr:uid="{5AF55668-B10F-4262-9131-F50E85EA4CB5}"/>
    <hyperlink ref="E206" r:id="rId46" display="mailto:camilojuan821@gmail.com" xr:uid="{9A84DB16-7A9E-4C36-AC37-687CB897A7D1}"/>
    <hyperlink ref="E207" r:id="rId47" display="mailto:luisadanielat@gmail.com" xr:uid="{8D6C776F-6FB5-4853-9D5E-55F866A2D7CD}"/>
    <hyperlink ref="E208" r:id="rId48" display="mailto:rubend.aristizabalo@gmail.com" xr:uid="{0578A5BA-11F1-4FD6-93EF-77957FECDC0B}"/>
    <hyperlink ref="E209" r:id="rId49" display="mailto:observatorioseguridad@cali.gov.co" xr:uid="{594E0F03-F57B-4F15-BD91-E30254F72F35}"/>
    <hyperlink ref="E211" r:id="rId50" display="mailto:ekmacho@gmail.com" xr:uid="{B82F27AC-DB48-48F9-A5B6-8C02B1741249}"/>
    <hyperlink ref="E212" r:id="rId51" display="mailto:davidsotobello@gmail.com" xr:uid="{9C5CA300-5B25-4C74-8129-6678CD309FC2}"/>
    <hyperlink ref="E213" r:id="rId52" display="mailto:luisllopez9412@gmail.com" xr:uid="{1EEA9114-41A3-4E96-80A7-19CCAA4248BF}"/>
    <hyperlink ref="E214" r:id="rId53" display="mailto:damunoz.arias@gmail.com" xr:uid="{2909003E-7E45-483D-807B-3D11FEF862DA}"/>
    <hyperlink ref="E219" r:id="rId54" display="mailto:marcela.diaz@cali.gov.co" xr:uid="{04441347-A42B-4099-B5FF-5B1DEACC6F00}"/>
    <hyperlink ref="E220" r:id="rId55" display="mailto:observatorio.salud@cali.gov.co" xr:uid="{98EE91C9-A78E-4FBF-BEF6-AC328D2FF9E5}"/>
    <hyperlink ref="E223" r:id="rId56" display="mailto:anthony.garces@cali.gov.co" xr:uid="{E1AC22BC-E519-46FA-AB9B-B6288A20CBF8}"/>
    <hyperlink ref="E234" r:id="rId57" display="mailto:johnny.marvaez@cali.gov.co" xr:uid="{27A1796E-0863-484A-AA94-1BBD31AC89D2}"/>
    <hyperlink ref="E235" r:id="rId58" display="mailto:clara.solis@cali.gov.co" xr:uid="{58D4BD11-80C9-4D8D-9E56-5E318D3D8459}"/>
    <hyperlink ref="E246" r:id="rId59" display="mailto:calidad.st@cali.gov.co" xr:uid="{59924132-0ECB-4455-9196-A221C9B46C16}"/>
    <hyperlink ref="E247" r:id="rId60" display="mailto:calidad.st@cali.gov.co" xr:uid="{597C3232-26F2-42D1-A1AE-BE922240A1D8}"/>
    <hyperlink ref="E283" r:id="rId61" display="mailto:js.giraldov1@gmail.com" xr:uid="{EDC86975-482C-444F-9A55-08F53440183F}"/>
    <hyperlink ref="E286" r:id="rId62" display="mailto:calidad.uaesp@cali.gov.co" xr:uid="{1CF915F7-847D-4AA3-9532-EE065F6431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C6F1-4D02-4094-8B13-E366D67582EB}">
  <dimension ref="A1:K28"/>
  <sheetViews>
    <sheetView workbookViewId="0">
      <selection activeCell="M2" sqref="M2"/>
    </sheetView>
  </sheetViews>
  <sheetFormatPr baseColWidth="10" defaultRowHeight="15"/>
  <cols>
    <col min="2" max="2" width="16.28515625" customWidth="1"/>
    <col min="3" max="11" width="11.42578125" style="124"/>
  </cols>
  <sheetData>
    <row r="1" spans="1:11">
      <c r="A1" s="90" t="s">
        <v>423</v>
      </c>
      <c r="B1" s="90" t="s">
        <v>424</v>
      </c>
      <c r="C1" s="90" t="s">
        <v>425</v>
      </c>
      <c r="D1" s="90" t="s">
        <v>426</v>
      </c>
      <c r="E1" s="90" t="s">
        <v>427</v>
      </c>
      <c r="F1" s="90" t="s">
        <v>428</v>
      </c>
      <c r="G1" s="90" t="s">
        <v>429</v>
      </c>
      <c r="H1" s="90" t="s">
        <v>430</v>
      </c>
      <c r="I1" s="90" t="s">
        <v>431</v>
      </c>
      <c r="J1" s="90" t="s">
        <v>432</v>
      </c>
      <c r="K1" s="90" t="s">
        <v>433</v>
      </c>
    </row>
    <row r="2" spans="1:11">
      <c r="A2" s="90">
        <v>4146</v>
      </c>
      <c r="B2" s="90" t="s">
        <v>422</v>
      </c>
      <c r="C2" s="90">
        <v>8</v>
      </c>
      <c r="D2" s="90">
        <v>8</v>
      </c>
      <c r="E2" s="90">
        <v>3</v>
      </c>
      <c r="F2" s="90">
        <v>7</v>
      </c>
      <c r="G2" s="90">
        <v>1</v>
      </c>
      <c r="H2" s="90">
        <v>5</v>
      </c>
      <c r="I2" s="90">
        <v>10</v>
      </c>
      <c r="J2" s="90">
        <v>9</v>
      </c>
      <c r="K2" s="90">
        <v>9</v>
      </c>
    </row>
    <row r="3" spans="1:11">
      <c r="A3" s="90">
        <v>4148</v>
      </c>
      <c r="B3" s="90" t="s">
        <v>446</v>
      </c>
      <c r="C3" s="90">
        <v>3</v>
      </c>
      <c r="D3" s="90">
        <v>0</v>
      </c>
      <c r="E3" s="90">
        <v>0</v>
      </c>
      <c r="F3" s="90">
        <v>0</v>
      </c>
      <c r="G3" s="90">
        <v>4</v>
      </c>
      <c r="H3" s="90">
        <v>4</v>
      </c>
      <c r="I3" s="90">
        <v>4</v>
      </c>
      <c r="J3" s="90">
        <v>0</v>
      </c>
      <c r="K3" s="90">
        <v>0</v>
      </c>
    </row>
    <row r="4" spans="1:11">
      <c r="A4" s="90">
        <v>4171</v>
      </c>
      <c r="B4" s="90" t="s">
        <v>464</v>
      </c>
      <c r="C4" s="90"/>
      <c r="D4" s="90">
        <v>0</v>
      </c>
      <c r="E4" s="90">
        <v>1</v>
      </c>
      <c r="F4" s="90">
        <v>3</v>
      </c>
      <c r="G4" s="90">
        <v>5</v>
      </c>
      <c r="H4" s="90">
        <v>5</v>
      </c>
      <c r="I4" s="90">
        <v>7</v>
      </c>
      <c r="J4" s="90">
        <v>5</v>
      </c>
      <c r="K4" s="90">
        <v>1</v>
      </c>
    </row>
    <row r="5" spans="1:11">
      <c r="A5" s="90">
        <v>4162</v>
      </c>
      <c r="B5" s="90" t="s">
        <v>504</v>
      </c>
      <c r="C5" s="90">
        <v>8</v>
      </c>
      <c r="D5" s="90">
        <v>5</v>
      </c>
      <c r="E5" s="90">
        <v>5</v>
      </c>
      <c r="F5" s="90">
        <v>5</v>
      </c>
      <c r="G5" s="90">
        <v>5</v>
      </c>
      <c r="H5" s="90">
        <v>1</v>
      </c>
      <c r="I5" s="90">
        <v>1</v>
      </c>
      <c r="J5" s="90">
        <v>1</v>
      </c>
      <c r="K5" s="90">
        <v>1</v>
      </c>
    </row>
    <row r="6" spans="1:11">
      <c r="A6" s="90">
        <v>4173</v>
      </c>
      <c r="B6" s="90" t="s">
        <v>511</v>
      </c>
      <c r="C6" s="90">
        <v>3</v>
      </c>
      <c r="D6" s="90">
        <v>0</v>
      </c>
      <c r="E6" s="90">
        <v>0</v>
      </c>
      <c r="F6" s="90">
        <v>0</v>
      </c>
      <c r="G6" s="90">
        <v>2</v>
      </c>
      <c r="H6" s="90">
        <v>2</v>
      </c>
      <c r="I6" s="90">
        <v>1</v>
      </c>
      <c r="J6" s="90">
        <v>0</v>
      </c>
      <c r="K6" s="90">
        <v>0</v>
      </c>
    </row>
    <row r="7" spans="1:11">
      <c r="A7" s="90">
        <v>4143</v>
      </c>
      <c r="B7" s="90" t="s">
        <v>526</v>
      </c>
      <c r="C7" s="90">
        <v>5</v>
      </c>
      <c r="D7" s="90">
        <v>0</v>
      </c>
      <c r="E7" s="90">
        <v>2</v>
      </c>
      <c r="F7" s="90">
        <v>6</v>
      </c>
      <c r="G7" s="90">
        <v>6</v>
      </c>
      <c r="H7" s="90">
        <v>6</v>
      </c>
      <c r="I7" s="90">
        <v>6</v>
      </c>
      <c r="J7" s="90">
        <v>0</v>
      </c>
      <c r="K7" s="90">
        <v>0</v>
      </c>
    </row>
    <row r="8" spans="1:11">
      <c r="A8" s="90">
        <v>4112</v>
      </c>
      <c r="B8" s="90" t="s">
        <v>530</v>
      </c>
      <c r="C8" s="90">
        <v>1</v>
      </c>
      <c r="D8" s="90">
        <v>1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</row>
    <row r="9" spans="1:11">
      <c r="A9" s="90">
        <v>4151</v>
      </c>
      <c r="B9" s="90" t="s">
        <v>547</v>
      </c>
      <c r="C9" s="90">
        <v>5</v>
      </c>
      <c r="D9" s="90">
        <v>0</v>
      </c>
      <c r="E9" s="90">
        <v>1</v>
      </c>
      <c r="F9" s="90">
        <v>0</v>
      </c>
      <c r="G9" s="90">
        <v>3</v>
      </c>
      <c r="H9" s="90">
        <v>1</v>
      </c>
      <c r="I9" s="90">
        <v>2</v>
      </c>
      <c r="J9" s="90">
        <v>1</v>
      </c>
      <c r="K9" s="90">
        <v>0</v>
      </c>
    </row>
    <row r="10" spans="1:11">
      <c r="A10" s="90">
        <v>4152</v>
      </c>
      <c r="B10" s="90" t="s">
        <v>566</v>
      </c>
      <c r="C10" s="90">
        <v>5</v>
      </c>
      <c r="D10" s="90">
        <v>1</v>
      </c>
      <c r="E10" s="90">
        <v>0</v>
      </c>
      <c r="F10" s="90">
        <v>0</v>
      </c>
      <c r="G10" s="90">
        <v>7</v>
      </c>
      <c r="H10" s="90">
        <v>7</v>
      </c>
      <c r="I10" s="90">
        <v>7</v>
      </c>
      <c r="J10" s="90">
        <v>3</v>
      </c>
      <c r="K10" s="90">
        <v>0</v>
      </c>
    </row>
    <row r="11" spans="1:11">
      <c r="A11" s="90">
        <v>4164</v>
      </c>
      <c r="B11" s="90" t="s">
        <v>567</v>
      </c>
      <c r="C11" s="90">
        <v>8</v>
      </c>
      <c r="D11" s="90">
        <v>5</v>
      </c>
      <c r="E11" s="90">
        <v>5</v>
      </c>
      <c r="F11" s="90">
        <v>10</v>
      </c>
      <c r="G11" s="90">
        <v>7</v>
      </c>
      <c r="H11" s="90">
        <v>6</v>
      </c>
      <c r="I11" s="90">
        <v>5</v>
      </c>
      <c r="J11" s="90">
        <v>3</v>
      </c>
      <c r="K11" s="90">
        <v>4</v>
      </c>
    </row>
    <row r="12" spans="1:11">
      <c r="A12" s="90">
        <v>4161</v>
      </c>
      <c r="B12" s="90" t="s">
        <v>627</v>
      </c>
      <c r="C12" s="90">
        <v>8</v>
      </c>
      <c r="D12" s="90">
        <v>7</v>
      </c>
      <c r="E12" s="90">
        <v>7</v>
      </c>
      <c r="F12" s="90">
        <v>9</v>
      </c>
      <c r="G12" s="90">
        <v>8</v>
      </c>
      <c r="H12" s="90">
        <v>14</v>
      </c>
      <c r="I12" s="90">
        <v>13</v>
      </c>
      <c r="J12" s="90">
        <v>8</v>
      </c>
      <c r="K12" s="90">
        <v>3</v>
      </c>
    </row>
    <row r="13" spans="1:11">
      <c r="A13" s="90">
        <v>4145</v>
      </c>
      <c r="B13" s="90" t="s">
        <v>667</v>
      </c>
      <c r="C13" s="90">
        <v>8</v>
      </c>
      <c r="D13" s="90">
        <v>9</v>
      </c>
      <c r="E13" s="90">
        <v>7</v>
      </c>
      <c r="F13" s="90">
        <v>7</v>
      </c>
      <c r="G13" s="90">
        <v>8</v>
      </c>
      <c r="H13" s="90">
        <v>12</v>
      </c>
      <c r="I13" s="90">
        <v>15</v>
      </c>
      <c r="J13" s="90">
        <v>10</v>
      </c>
      <c r="K13" s="90">
        <v>10</v>
      </c>
    </row>
    <row r="14" spans="1:11">
      <c r="A14" s="90">
        <v>4172</v>
      </c>
      <c r="B14" s="90" t="s">
        <v>692</v>
      </c>
      <c r="C14" s="90">
        <v>8</v>
      </c>
      <c r="D14" s="90">
        <v>6</v>
      </c>
      <c r="E14" s="90">
        <v>3</v>
      </c>
      <c r="F14" s="90">
        <v>3</v>
      </c>
      <c r="G14" s="90">
        <v>10</v>
      </c>
      <c r="H14" s="90">
        <v>11</v>
      </c>
      <c r="I14" s="90">
        <v>11</v>
      </c>
      <c r="J14" s="90">
        <v>5</v>
      </c>
      <c r="K14" s="90">
        <v>5</v>
      </c>
    </row>
    <row r="15" spans="1:11">
      <c r="A15" s="90">
        <v>4147</v>
      </c>
      <c r="B15" s="90" t="s">
        <v>777</v>
      </c>
      <c r="C15" s="90">
        <v>8</v>
      </c>
      <c r="D15" s="90">
        <v>2</v>
      </c>
      <c r="E15" s="90">
        <v>3</v>
      </c>
      <c r="F15" s="90">
        <v>3</v>
      </c>
      <c r="G15" s="90">
        <v>24</v>
      </c>
      <c r="H15" s="90">
        <v>21</v>
      </c>
      <c r="I15" s="90">
        <v>8</v>
      </c>
      <c r="J15" s="90">
        <v>5</v>
      </c>
      <c r="K15" s="90">
        <v>2</v>
      </c>
    </row>
    <row r="16" spans="1:11">
      <c r="A16" s="90">
        <v>4183</v>
      </c>
      <c r="B16" s="90" t="s">
        <v>790</v>
      </c>
      <c r="C16" s="90">
        <v>7</v>
      </c>
      <c r="D16" s="90">
        <v>0</v>
      </c>
      <c r="E16" s="90">
        <v>1</v>
      </c>
      <c r="F16" s="90">
        <v>2</v>
      </c>
      <c r="G16" s="90">
        <v>3</v>
      </c>
      <c r="H16" s="90">
        <v>3</v>
      </c>
      <c r="I16" s="90">
        <v>4</v>
      </c>
      <c r="J16" s="90">
        <v>4</v>
      </c>
      <c r="K16" s="90">
        <v>4</v>
      </c>
    </row>
    <row r="17" spans="1:11">
      <c r="A17" s="90">
        <v>4182</v>
      </c>
      <c r="B17" s="90" t="s">
        <v>794</v>
      </c>
      <c r="C17" s="90">
        <v>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90">
        <v>1</v>
      </c>
      <c r="J17" s="90">
        <v>0</v>
      </c>
      <c r="K17" s="90">
        <v>0</v>
      </c>
    </row>
    <row r="18" spans="1:11">
      <c r="A18" s="90">
        <v>4134</v>
      </c>
      <c r="B18" s="90" t="s">
        <v>374</v>
      </c>
      <c r="C18" s="90">
        <v>7</v>
      </c>
      <c r="D18" s="90">
        <v>2</v>
      </c>
      <c r="E18" s="90">
        <v>1</v>
      </c>
      <c r="F18" s="90">
        <v>1</v>
      </c>
      <c r="G18" s="90">
        <v>3</v>
      </c>
      <c r="H18" s="90">
        <v>4</v>
      </c>
      <c r="I18" s="90">
        <v>3</v>
      </c>
      <c r="J18" s="90">
        <v>4</v>
      </c>
      <c r="K18" s="90">
        <v>0</v>
      </c>
    </row>
    <row r="19" spans="1:11">
      <c r="A19" s="90">
        <v>4132</v>
      </c>
      <c r="B19" s="90" t="s">
        <v>363</v>
      </c>
      <c r="C19" s="90">
        <v>8</v>
      </c>
      <c r="D19" s="90">
        <v>24</v>
      </c>
      <c r="E19" s="90">
        <v>24</v>
      </c>
      <c r="F19" s="90">
        <v>28</v>
      </c>
      <c r="G19" s="90">
        <v>50</v>
      </c>
      <c r="H19" s="90">
        <v>44</v>
      </c>
      <c r="I19" s="90">
        <v>53</v>
      </c>
      <c r="J19" s="90">
        <v>39</v>
      </c>
      <c r="K19" s="90">
        <v>34</v>
      </c>
    </row>
    <row r="20" spans="1:11">
      <c r="A20" s="90">
        <v>4131</v>
      </c>
      <c r="B20" s="90" t="s">
        <v>209</v>
      </c>
      <c r="C20" s="90"/>
      <c r="D20" s="90">
        <v>18</v>
      </c>
      <c r="E20" s="90">
        <v>17</v>
      </c>
      <c r="F20" s="90">
        <v>16</v>
      </c>
      <c r="G20" s="90">
        <v>20</v>
      </c>
      <c r="H20" s="90">
        <v>21</v>
      </c>
      <c r="I20" s="90">
        <v>22</v>
      </c>
      <c r="J20" s="90">
        <v>18</v>
      </c>
      <c r="K20" s="90">
        <v>13</v>
      </c>
    </row>
    <row r="21" spans="1:11">
      <c r="A21" s="90">
        <v>4133</v>
      </c>
      <c r="B21" s="90" t="s">
        <v>136</v>
      </c>
      <c r="C21" s="90">
        <v>5</v>
      </c>
      <c r="D21" s="90">
        <v>10</v>
      </c>
      <c r="E21" s="90">
        <v>1</v>
      </c>
      <c r="F21" s="90">
        <v>10</v>
      </c>
      <c r="G21" s="90">
        <v>4</v>
      </c>
      <c r="H21" s="90">
        <v>0</v>
      </c>
      <c r="I21" s="90">
        <v>3</v>
      </c>
      <c r="J21" s="90">
        <v>0</v>
      </c>
      <c r="K21" s="90">
        <v>0</v>
      </c>
    </row>
    <row r="22" spans="1:11">
      <c r="A22" s="90">
        <v>4121</v>
      </c>
      <c r="B22" s="90" t="s">
        <v>795</v>
      </c>
      <c r="C22" s="90">
        <v>6</v>
      </c>
      <c r="D22" s="90">
        <v>0</v>
      </c>
      <c r="E22" s="90">
        <v>2</v>
      </c>
      <c r="F22" s="90">
        <v>0</v>
      </c>
      <c r="G22" s="90">
        <v>1</v>
      </c>
      <c r="H22" s="90">
        <v>2</v>
      </c>
      <c r="I22" s="90">
        <v>1</v>
      </c>
      <c r="J22" s="90">
        <v>1</v>
      </c>
      <c r="K22" s="90">
        <v>1</v>
      </c>
    </row>
    <row r="23" spans="1:11">
      <c r="A23" s="90">
        <v>4137</v>
      </c>
      <c r="B23" s="90" t="s">
        <v>796</v>
      </c>
      <c r="C23" s="90">
        <v>8</v>
      </c>
      <c r="D23" s="90">
        <v>1</v>
      </c>
      <c r="E23" s="90">
        <v>4</v>
      </c>
      <c r="F23" s="90">
        <v>2</v>
      </c>
      <c r="G23" s="90">
        <v>4</v>
      </c>
      <c r="H23" s="90">
        <v>7</v>
      </c>
      <c r="I23" s="90">
        <v>5</v>
      </c>
      <c r="J23" s="90">
        <v>4</v>
      </c>
      <c r="K23" s="90">
        <v>4</v>
      </c>
    </row>
    <row r="24" spans="1:11">
      <c r="A24" s="90">
        <v>4135</v>
      </c>
      <c r="B24" s="90" t="s">
        <v>104</v>
      </c>
      <c r="C24" s="90">
        <v>7</v>
      </c>
      <c r="D24" s="90">
        <v>5</v>
      </c>
      <c r="E24" s="90">
        <v>5</v>
      </c>
      <c r="F24" s="90">
        <v>5</v>
      </c>
      <c r="G24" s="90">
        <v>5</v>
      </c>
      <c r="H24" s="90">
        <v>5</v>
      </c>
      <c r="I24" s="90">
        <v>5</v>
      </c>
      <c r="J24" s="90">
        <v>5</v>
      </c>
      <c r="K24" s="90"/>
    </row>
    <row r="25" spans="1:11">
      <c r="A25" s="90">
        <v>4123</v>
      </c>
      <c r="B25" s="90" t="s">
        <v>797</v>
      </c>
      <c r="C25" s="90">
        <v>7</v>
      </c>
      <c r="D25" s="90">
        <v>0</v>
      </c>
      <c r="E25" s="90">
        <v>8</v>
      </c>
      <c r="F25" s="90">
        <v>7</v>
      </c>
      <c r="G25" s="90">
        <v>8</v>
      </c>
      <c r="H25" s="90">
        <v>12</v>
      </c>
      <c r="I25" s="90">
        <v>8</v>
      </c>
      <c r="J25" s="90">
        <v>5</v>
      </c>
      <c r="K25" s="90">
        <v>1</v>
      </c>
    </row>
    <row r="26" spans="1:11" ht="17.25" customHeight="1">
      <c r="A26" s="90">
        <v>4124</v>
      </c>
      <c r="B26" s="90" t="s">
        <v>87</v>
      </c>
      <c r="C26" s="90">
        <v>8</v>
      </c>
      <c r="D26" s="90">
        <v>3</v>
      </c>
      <c r="E26" s="90">
        <v>2</v>
      </c>
      <c r="F26" s="90">
        <v>5</v>
      </c>
      <c r="G26" s="90">
        <v>12</v>
      </c>
      <c r="H26" s="90">
        <v>4</v>
      </c>
      <c r="I26" s="90">
        <v>8</v>
      </c>
      <c r="J26" s="90">
        <v>6</v>
      </c>
      <c r="K26" s="90">
        <v>4</v>
      </c>
    </row>
    <row r="27" spans="1:1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</row>
    <row r="28" spans="1:1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B8A0-1C45-4A16-8FFF-7464C6ACA25E}">
  <dimension ref="A1:B24"/>
  <sheetViews>
    <sheetView workbookViewId="0">
      <selection activeCell="B2" sqref="B2"/>
    </sheetView>
  </sheetViews>
  <sheetFormatPr baseColWidth="10" defaultRowHeight="30.75" customHeight="1"/>
  <cols>
    <col min="1" max="1" width="32.5703125" customWidth="1"/>
    <col min="2" max="2" width="71" customWidth="1"/>
  </cols>
  <sheetData>
    <row r="1" spans="1:2" ht="30.75" customHeight="1">
      <c r="A1" s="171" t="s">
        <v>809</v>
      </c>
      <c r="B1" s="171" t="s">
        <v>810</v>
      </c>
    </row>
    <row r="2" spans="1:2" ht="30.75" customHeight="1">
      <c r="A2" s="172" t="s">
        <v>798</v>
      </c>
      <c r="B2" s="172" t="s">
        <v>811</v>
      </c>
    </row>
    <row r="3" spans="1:2" ht="30.75" customHeight="1">
      <c r="A3" s="173" t="s">
        <v>424</v>
      </c>
      <c r="B3" s="173" t="s">
        <v>812</v>
      </c>
    </row>
    <row r="4" spans="1:2" ht="30.75" customHeight="1">
      <c r="A4" s="173" t="s">
        <v>799</v>
      </c>
      <c r="B4" s="172" t="s">
        <v>813</v>
      </c>
    </row>
    <row r="5" spans="1:2" ht="30.75" customHeight="1">
      <c r="A5" s="173" t="s">
        <v>800</v>
      </c>
      <c r="B5" s="172" t="s">
        <v>814</v>
      </c>
    </row>
    <row r="6" spans="1:2" ht="30.75" customHeight="1">
      <c r="A6" s="173" t="s">
        <v>801</v>
      </c>
      <c r="B6" s="172" t="s">
        <v>815</v>
      </c>
    </row>
    <row r="7" spans="1:2" ht="30.75" customHeight="1">
      <c r="A7" s="173" t="s">
        <v>802</v>
      </c>
      <c r="B7" s="172" t="s">
        <v>816</v>
      </c>
    </row>
    <row r="8" spans="1:2" ht="30.75" customHeight="1">
      <c r="A8" s="173" t="s">
        <v>803</v>
      </c>
      <c r="B8" s="173" t="s">
        <v>817</v>
      </c>
    </row>
    <row r="9" spans="1:2" ht="30.75" customHeight="1">
      <c r="A9" s="173" t="s">
        <v>804</v>
      </c>
      <c r="B9" s="173" t="s">
        <v>5</v>
      </c>
    </row>
    <row r="10" spans="1:2" ht="30.75" customHeight="1">
      <c r="A10" s="173" t="s">
        <v>10</v>
      </c>
      <c r="B10" s="173" t="s">
        <v>818</v>
      </c>
    </row>
    <row r="11" spans="1:2" ht="30.75" customHeight="1">
      <c r="A11" s="173" t="s">
        <v>11</v>
      </c>
      <c r="B11" s="173" t="s">
        <v>819</v>
      </c>
    </row>
    <row r="12" spans="1:2" ht="30.75" customHeight="1">
      <c r="A12" s="172" t="s">
        <v>805</v>
      </c>
      <c r="B12" s="173" t="s">
        <v>820</v>
      </c>
    </row>
    <row r="13" spans="1:2" ht="30.75" customHeight="1">
      <c r="A13" s="172" t="s">
        <v>806</v>
      </c>
      <c r="B13" s="173" t="s">
        <v>821</v>
      </c>
    </row>
    <row r="14" spans="1:2" ht="30.75" customHeight="1">
      <c r="A14" s="172" t="s">
        <v>85</v>
      </c>
      <c r="B14" s="173" t="s">
        <v>822</v>
      </c>
    </row>
    <row r="15" spans="1:2" ht="30.75" customHeight="1">
      <c r="A15" s="172" t="s">
        <v>807</v>
      </c>
      <c r="B15" s="172" t="s">
        <v>823</v>
      </c>
    </row>
    <row r="16" spans="1:2" ht="30.75" customHeight="1">
      <c r="A16" s="174" t="s">
        <v>425</v>
      </c>
      <c r="B16" s="173" t="s">
        <v>824</v>
      </c>
    </row>
    <row r="17" spans="1:2" ht="30.75" customHeight="1">
      <c r="A17" s="174" t="s">
        <v>426</v>
      </c>
      <c r="B17" s="173" t="s">
        <v>825</v>
      </c>
    </row>
    <row r="18" spans="1:2" ht="30.75" customHeight="1">
      <c r="A18" s="174" t="s">
        <v>427</v>
      </c>
      <c r="B18" s="173" t="s">
        <v>826</v>
      </c>
    </row>
    <row r="19" spans="1:2" ht="30.75" customHeight="1">
      <c r="A19" s="174" t="s">
        <v>428</v>
      </c>
      <c r="B19" s="173" t="s">
        <v>827</v>
      </c>
    </row>
    <row r="20" spans="1:2" ht="30.75" customHeight="1">
      <c r="A20" s="174" t="s">
        <v>429</v>
      </c>
      <c r="B20" s="173" t="s">
        <v>828</v>
      </c>
    </row>
    <row r="21" spans="1:2" ht="30.75" customHeight="1">
      <c r="A21" s="174" t="s">
        <v>430</v>
      </c>
      <c r="B21" s="173" t="s">
        <v>829</v>
      </c>
    </row>
    <row r="22" spans="1:2" ht="30.75" customHeight="1">
      <c r="A22" s="174" t="s">
        <v>431</v>
      </c>
      <c r="B22" s="173" t="s">
        <v>830</v>
      </c>
    </row>
    <row r="23" spans="1:2" ht="30.75" customHeight="1">
      <c r="A23" s="174" t="s">
        <v>432</v>
      </c>
      <c r="B23" s="173" t="s">
        <v>831</v>
      </c>
    </row>
    <row r="24" spans="1:2" ht="30.75" customHeight="1">
      <c r="A24" s="174" t="s">
        <v>433</v>
      </c>
      <c r="B24" s="173" t="s">
        <v>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8"/>
  <sheetViews>
    <sheetView tabSelected="1" topLeftCell="E272" zoomScale="80" zoomScaleNormal="80" workbookViewId="0">
      <selection activeCell="AP286" sqref="AP286"/>
    </sheetView>
  </sheetViews>
  <sheetFormatPr baseColWidth="10" defaultColWidth="5.85546875" defaultRowHeight="21" customHeight="1"/>
  <cols>
    <col min="6" max="6" width="13.140625" customWidth="1"/>
    <col min="7" max="29" width="5" customWidth="1"/>
    <col min="30" max="30" width="7.7109375" customWidth="1"/>
    <col min="31" max="36" width="5" customWidth="1"/>
  </cols>
  <sheetData>
    <row r="1" spans="1:46" ht="15.75" thickBot="1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5</v>
      </c>
      <c r="G1" s="178" t="s">
        <v>6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80"/>
      <c r="V1" s="178" t="s">
        <v>7</v>
      </c>
      <c r="W1" s="179"/>
      <c r="X1" s="179"/>
      <c r="Y1" s="179"/>
      <c r="Z1" s="179"/>
      <c r="AA1" s="179"/>
      <c r="AB1" s="179"/>
      <c r="AC1" s="180"/>
      <c r="AD1" s="175" t="s">
        <v>8</v>
      </c>
      <c r="AE1" s="178" t="s">
        <v>9</v>
      </c>
      <c r="AF1" s="179"/>
      <c r="AG1" s="179"/>
      <c r="AH1" s="179"/>
      <c r="AI1" s="179"/>
      <c r="AJ1" s="180"/>
    </row>
    <row r="2" spans="1:46" ht="15.75" thickBot="1">
      <c r="A2" s="176"/>
      <c r="B2" s="176"/>
      <c r="C2" s="176"/>
      <c r="D2" s="176"/>
      <c r="E2" s="176"/>
      <c r="F2" s="176"/>
      <c r="G2" s="178" t="s">
        <v>10</v>
      </c>
      <c r="H2" s="179"/>
      <c r="I2" s="179"/>
      <c r="J2" s="179"/>
      <c r="K2" s="179"/>
      <c r="L2" s="179"/>
      <c r="M2" s="179"/>
      <c r="N2" s="179"/>
      <c r="O2" s="179"/>
      <c r="P2" s="179"/>
      <c r="Q2" s="180"/>
      <c r="R2" s="178" t="s">
        <v>11</v>
      </c>
      <c r="S2" s="179"/>
      <c r="T2" s="179"/>
      <c r="U2" s="180"/>
      <c r="V2" s="15" t="s">
        <v>12</v>
      </c>
      <c r="W2" s="15" t="s">
        <v>13</v>
      </c>
      <c r="X2" s="15" t="s">
        <v>14</v>
      </c>
      <c r="Y2" s="15" t="s">
        <v>15</v>
      </c>
      <c r="Z2" s="15" t="s">
        <v>16</v>
      </c>
      <c r="AA2" s="15" t="s">
        <v>17</v>
      </c>
      <c r="AB2" s="15" t="s">
        <v>13</v>
      </c>
      <c r="AC2" s="15" t="s">
        <v>18</v>
      </c>
      <c r="AD2" s="176"/>
      <c r="AE2" s="17" t="s">
        <v>19</v>
      </c>
      <c r="AF2" s="17" t="s">
        <v>20</v>
      </c>
      <c r="AG2" s="17" t="s">
        <v>16</v>
      </c>
      <c r="AH2" s="17" t="s">
        <v>18</v>
      </c>
      <c r="AI2" s="17" t="s">
        <v>21</v>
      </c>
      <c r="AJ2" s="17" t="s">
        <v>13</v>
      </c>
    </row>
    <row r="3" spans="1:46" ht="15.75" thickBot="1">
      <c r="A3" s="177"/>
      <c r="B3" s="177"/>
      <c r="C3" s="177"/>
      <c r="D3" s="177"/>
      <c r="E3" s="177"/>
      <c r="F3" s="177"/>
      <c r="G3" s="12" t="s">
        <v>22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30</v>
      </c>
      <c r="P3" s="12" t="s">
        <v>31</v>
      </c>
      <c r="Q3" s="12" t="s">
        <v>32</v>
      </c>
      <c r="R3" s="13" t="s">
        <v>17</v>
      </c>
      <c r="S3" s="14" t="s">
        <v>33</v>
      </c>
      <c r="T3" s="14" t="s">
        <v>16</v>
      </c>
      <c r="U3" s="14" t="s">
        <v>31</v>
      </c>
      <c r="V3" s="16"/>
      <c r="W3" s="16"/>
      <c r="X3" s="16"/>
      <c r="Y3" s="16"/>
      <c r="Z3" s="16"/>
      <c r="AA3" s="16"/>
      <c r="AB3" s="16"/>
      <c r="AC3" s="16"/>
      <c r="AD3" s="177"/>
      <c r="AE3" s="18"/>
      <c r="AF3" s="18"/>
      <c r="AG3" s="18"/>
      <c r="AH3" s="18"/>
      <c r="AI3" s="18"/>
      <c r="AJ3" s="18"/>
      <c r="AL3" t="s">
        <v>81</v>
      </c>
      <c r="AM3" t="s">
        <v>82</v>
      </c>
      <c r="AN3" s="19" t="s">
        <v>83</v>
      </c>
      <c r="AO3" t="s">
        <v>84</v>
      </c>
      <c r="AP3" t="s">
        <v>85</v>
      </c>
      <c r="AQ3" t="s">
        <v>86</v>
      </c>
    </row>
    <row r="4" spans="1:46" ht="21" customHeight="1" thickBot="1">
      <c r="A4" s="1" t="s">
        <v>34</v>
      </c>
      <c r="B4" s="2" t="s">
        <v>35</v>
      </c>
      <c r="C4" s="2" t="s">
        <v>36</v>
      </c>
      <c r="D4" s="3">
        <v>3116833324</v>
      </c>
      <c r="E4" s="4" t="s">
        <v>37</v>
      </c>
      <c r="F4" s="5">
        <v>45323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 t="s">
        <v>38</v>
      </c>
      <c r="U4" s="6"/>
      <c r="V4" s="7" t="s">
        <v>38</v>
      </c>
      <c r="W4" s="6"/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  <c r="AC4" s="7" t="s">
        <v>38</v>
      </c>
      <c r="AD4" s="7" t="s">
        <v>39</v>
      </c>
      <c r="AE4" s="8"/>
      <c r="AF4" s="6"/>
      <c r="AG4" s="9" t="s">
        <v>38</v>
      </c>
      <c r="AH4" s="6"/>
      <c r="AI4" s="6"/>
      <c r="AJ4" s="6"/>
      <c r="AL4">
        <f>IFERROR(CHOOSE(MATCH("X",G4:Q4,0),1,2,3,4,4,4,4,4,4,4,5,6),0)</f>
        <v>0</v>
      </c>
      <c r="AM4">
        <f>IFERROR(MATCH("X",R4:U4,0),0)</f>
        <v>3</v>
      </c>
      <c r="AN4">
        <f>IF(AL4&gt;0,1,IF(AM4&gt;0,AM4+1,""))</f>
        <v>4</v>
      </c>
      <c r="AO4">
        <f>COUNTIF(V4:AC4,"X")</f>
        <v>7</v>
      </c>
      <c r="AP4">
        <f>IF(AD4="SI",1,0)</f>
        <v>0</v>
      </c>
      <c r="AQ4">
        <f>IFERROR(MATCH("X",AE4:AJ4,0),0)</f>
        <v>3</v>
      </c>
      <c r="AS4" s="20">
        <v>4124</v>
      </c>
      <c r="AT4" s="21" t="s">
        <v>87</v>
      </c>
    </row>
    <row r="5" spans="1:46" ht="21" customHeight="1" thickBot="1">
      <c r="A5" s="1" t="s">
        <v>34</v>
      </c>
      <c r="B5" s="2" t="s">
        <v>40</v>
      </c>
      <c r="C5" s="2" t="s">
        <v>41</v>
      </c>
      <c r="D5" s="3">
        <v>3202104719</v>
      </c>
      <c r="E5" s="4" t="s">
        <v>42</v>
      </c>
      <c r="F5" s="5">
        <v>45323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 t="s">
        <v>38</v>
      </c>
      <c r="T5" s="6"/>
      <c r="U5" s="6"/>
      <c r="V5" s="6"/>
      <c r="W5" s="6"/>
      <c r="X5" s="6"/>
      <c r="Y5" s="6"/>
      <c r="Z5" s="7" t="s">
        <v>38</v>
      </c>
      <c r="AA5" s="6"/>
      <c r="AB5" s="7" t="s">
        <v>38</v>
      </c>
      <c r="AC5" s="6"/>
      <c r="AD5" s="7" t="s">
        <v>39</v>
      </c>
      <c r="AE5" s="8"/>
      <c r="AF5" s="9" t="s">
        <v>38</v>
      </c>
      <c r="AG5" s="6"/>
      <c r="AH5" s="6"/>
      <c r="AI5" s="6"/>
      <c r="AJ5" s="6"/>
      <c r="AL5">
        <f t="shared" ref="AL5:AL16" si="0">IFERROR(CHOOSE(MATCH("X",G5:Q5,0),1,2,3,4,4,4,4,4,4,4,5,6),0)</f>
        <v>0</v>
      </c>
      <c r="AM5">
        <f t="shared" ref="AM5:AM16" si="1">IFERROR(MATCH("X",R5:U5,0),0)</f>
        <v>2</v>
      </c>
      <c r="AN5">
        <f t="shared" ref="AN5:AN16" si="2">IF(AL5&gt;0,1,IF(AM5&gt;0,AM5+1,""))</f>
        <v>3</v>
      </c>
      <c r="AO5">
        <f t="shared" ref="AO5:AO16" si="3">COUNTIF(V5:AC5,"X")</f>
        <v>2</v>
      </c>
      <c r="AP5">
        <f t="shared" ref="AP5:AP16" si="4">IF(AD5="SI",1,0)</f>
        <v>0</v>
      </c>
      <c r="AQ5">
        <f t="shared" ref="AQ5:AQ16" si="5">IFERROR(MATCH("X",AE5:AJ5,0),0)</f>
        <v>2</v>
      </c>
      <c r="AS5" s="20">
        <v>4124</v>
      </c>
      <c r="AT5" s="21" t="s">
        <v>87</v>
      </c>
    </row>
    <row r="6" spans="1:46" ht="21" customHeight="1" thickBot="1">
      <c r="A6" s="1" t="s">
        <v>34</v>
      </c>
      <c r="B6" s="2" t="s">
        <v>43</v>
      </c>
      <c r="C6" s="2" t="s">
        <v>44</v>
      </c>
      <c r="D6" s="3">
        <v>3137032246</v>
      </c>
      <c r="E6" s="4" t="s">
        <v>45</v>
      </c>
      <c r="F6" s="5">
        <v>45352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 t="s">
        <v>38</v>
      </c>
      <c r="S6" s="6"/>
      <c r="T6" s="6"/>
      <c r="U6" s="6"/>
      <c r="V6" s="6"/>
      <c r="W6" s="6"/>
      <c r="X6" s="7" t="s">
        <v>38</v>
      </c>
      <c r="Y6" s="7" t="s">
        <v>38</v>
      </c>
      <c r="Z6" s="7" t="s">
        <v>38</v>
      </c>
      <c r="AA6" s="6"/>
      <c r="AB6" s="7" t="s">
        <v>38</v>
      </c>
      <c r="AC6" s="6"/>
      <c r="AD6" s="7" t="s">
        <v>39</v>
      </c>
      <c r="AE6" s="10" t="s">
        <v>38</v>
      </c>
      <c r="AF6" s="6"/>
      <c r="AG6" s="6"/>
      <c r="AH6" s="6"/>
      <c r="AI6" s="6"/>
      <c r="AJ6" s="6"/>
      <c r="AL6">
        <f t="shared" si="0"/>
        <v>0</v>
      </c>
      <c r="AM6">
        <f t="shared" si="1"/>
        <v>1</v>
      </c>
      <c r="AN6">
        <f t="shared" si="2"/>
        <v>2</v>
      </c>
      <c r="AO6">
        <f t="shared" si="3"/>
        <v>4</v>
      </c>
      <c r="AP6">
        <f t="shared" si="4"/>
        <v>0</v>
      </c>
      <c r="AQ6">
        <f t="shared" si="5"/>
        <v>1</v>
      </c>
      <c r="AS6" s="20">
        <v>4124</v>
      </c>
      <c r="AT6" s="21" t="s">
        <v>87</v>
      </c>
    </row>
    <row r="7" spans="1:46" ht="21" customHeight="1" thickBot="1">
      <c r="A7" s="1" t="s">
        <v>34</v>
      </c>
      <c r="B7" s="2" t="s">
        <v>46</v>
      </c>
      <c r="C7" s="2" t="s">
        <v>47</v>
      </c>
      <c r="D7" s="3">
        <v>3013265540</v>
      </c>
      <c r="E7" s="4" t="s">
        <v>42</v>
      </c>
      <c r="F7" s="5">
        <v>45383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 t="s">
        <v>38</v>
      </c>
      <c r="V7" s="4" t="s">
        <v>38</v>
      </c>
      <c r="W7" s="6"/>
      <c r="X7" s="7" t="s">
        <v>38</v>
      </c>
      <c r="Y7" s="7" t="s">
        <v>38</v>
      </c>
      <c r="Z7" s="6"/>
      <c r="AA7" s="7" t="s">
        <v>38</v>
      </c>
      <c r="AB7" s="7" t="s">
        <v>38</v>
      </c>
      <c r="AC7" s="7" t="s">
        <v>38</v>
      </c>
      <c r="AD7" s="7" t="s">
        <v>39</v>
      </c>
      <c r="AE7" s="8"/>
      <c r="AF7" s="6"/>
      <c r="AG7" s="6"/>
      <c r="AH7" s="9" t="s">
        <v>38</v>
      </c>
      <c r="AI7" s="6"/>
      <c r="AJ7" s="6"/>
      <c r="AL7">
        <f t="shared" si="0"/>
        <v>0</v>
      </c>
      <c r="AM7">
        <f t="shared" si="1"/>
        <v>4</v>
      </c>
      <c r="AN7">
        <f t="shared" si="2"/>
        <v>5</v>
      </c>
      <c r="AO7">
        <f t="shared" si="3"/>
        <v>6</v>
      </c>
      <c r="AP7">
        <f t="shared" si="4"/>
        <v>0</v>
      </c>
      <c r="AQ7">
        <f t="shared" si="5"/>
        <v>4</v>
      </c>
      <c r="AS7" s="20">
        <v>4124</v>
      </c>
      <c r="AT7" s="21" t="s">
        <v>87</v>
      </c>
    </row>
    <row r="8" spans="1:46" ht="21" customHeight="1" thickBot="1">
      <c r="A8" s="1" t="s">
        <v>34</v>
      </c>
      <c r="B8" s="2" t="s">
        <v>48</v>
      </c>
      <c r="C8" s="2" t="s">
        <v>49</v>
      </c>
      <c r="D8" s="3">
        <v>3188945514</v>
      </c>
      <c r="E8" s="4" t="s">
        <v>50</v>
      </c>
      <c r="F8" s="5">
        <v>45352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 t="s">
        <v>38</v>
      </c>
      <c r="U8" s="6"/>
      <c r="V8" s="6"/>
      <c r="W8" s="7" t="s">
        <v>38</v>
      </c>
      <c r="X8" s="7" t="s">
        <v>38</v>
      </c>
      <c r="Y8" s="7" t="s">
        <v>38</v>
      </c>
      <c r="Z8" s="6"/>
      <c r="AA8" s="6"/>
      <c r="AB8" s="7" t="s">
        <v>38</v>
      </c>
      <c r="AC8" s="6"/>
      <c r="AD8" s="7" t="s">
        <v>39</v>
      </c>
      <c r="AE8" s="8"/>
      <c r="AF8" s="6"/>
      <c r="AG8" s="9" t="s">
        <v>38</v>
      </c>
      <c r="AH8" s="6"/>
      <c r="AI8" s="6"/>
      <c r="AJ8" s="6"/>
      <c r="AL8">
        <f t="shared" si="0"/>
        <v>0</v>
      </c>
      <c r="AM8">
        <f t="shared" si="1"/>
        <v>3</v>
      </c>
      <c r="AN8">
        <f t="shared" si="2"/>
        <v>4</v>
      </c>
      <c r="AO8">
        <f t="shared" si="3"/>
        <v>4</v>
      </c>
      <c r="AP8">
        <f t="shared" si="4"/>
        <v>0</v>
      </c>
      <c r="AQ8">
        <f t="shared" si="5"/>
        <v>3</v>
      </c>
      <c r="AS8" s="20">
        <v>4124</v>
      </c>
      <c r="AT8" s="21" t="s">
        <v>87</v>
      </c>
    </row>
    <row r="9" spans="1:46" ht="21" customHeight="1" thickBot="1">
      <c r="A9" s="1" t="s">
        <v>51</v>
      </c>
      <c r="B9" s="2" t="s">
        <v>52</v>
      </c>
      <c r="C9" s="2" t="s">
        <v>53</v>
      </c>
      <c r="D9" s="3">
        <v>3116282332</v>
      </c>
      <c r="E9" s="4" t="s">
        <v>54</v>
      </c>
      <c r="F9" s="5">
        <v>45292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 t="s">
        <v>38</v>
      </c>
      <c r="T9" s="6"/>
      <c r="U9" s="6"/>
      <c r="V9" s="6"/>
      <c r="W9" s="6"/>
      <c r="X9" s="6"/>
      <c r="Y9" s="4" t="s">
        <v>38</v>
      </c>
      <c r="Z9" s="6"/>
      <c r="AA9" s="4" t="s">
        <v>38</v>
      </c>
      <c r="AB9" s="6"/>
      <c r="AC9" s="6"/>
      <c r="AD9" s="7" t="s">
        <v>39</v>
      </c>
      <c r="AE9" s="8"/>
      <c r="AF9" s="6"/>
      <c r="AG9" s="7" t="s">
        <v>38</v>
      </c>
      <c r="AH9" s="6"/>
      <c r="AI9" s="6"/>
      <c r="AJ9" s="6"/>
      <c r="AL9">
        <f t="shared" si="0"/>
        <v>0</v>
      </c>
      <c r="AM9">
        <f t="shared" si="1"/>
        <v>2</v>
      </c>
      <c r="AN9">
        <f t="shared" si="2"/>
        <v>3</v>
      </c>
      <c r="AO9">
        <f t="shared" si="3"/>
        <v>2</v>
      </c>
      <c r="AP9">
        <f t="shared" si="4"/>
        <v>0</v>
      </c>
      <c r="AQ9">
        <f t="shared" si="5"/>
        <v>3</v>
      </c>
      <c r="AS9" s="20">
        <v>4124</v>
      </c>
      <c r="AT9" s="21" t="s">
        <v>87</v>
      </c>
    </row>
    <row r="10" spans="1:46" ht="21" customHeight="1" thickBot="1">
      <c r="A10" s="1" t="s">
        <v>55</v>
      </c>
      <c r="B10" s="2" t="s">
        <v>56</v>
      </c>
      <c r="C10" s="2" t="s">
        <v>57</v>
      </c>
      <c r="D10" s="3">
        <v>3116203526</v>
      </c>
      <c r="E10" s="4" t="s">
        <v>58</v>
      </c>
      <c r="F10" s="5">
        <v>45323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 t="s">
        <v>38</v>
      </c>
      <c r="T10" s="6"/>
      <c r="U10" s="6"/>
      <c r="V10" s="6"/>
      <c r="W10" s="6"/>
      <c r="X10" s="6"/>
      <c r="Y10" s="4" t="s">
        <v>38</v>
      </c>
      <c r="Z10" s="6"/>
      <c r="AA10" s="6"/>
      <c r="AB10" s="6"/>
      <c r="AC10" s="6"/>
      <c r="AD10" s="7" t="s">
        <v>39</v>
      </c>
      <c r="AE10" s="8"/>
      <c r="AF10" s="6"/>
      <c r="AG10" s="7" t="s">
        <v>38</v>
      </c>
      <c r="AH10" s="6"/>
      <c r="AI10" s="6"/>
      <c r="AJ10" s="6"/>
      <c r="AL10">
        <f t="shared" si="0"/>
        <v>0</v>
      </c>
      <c r="AM10">
        <f t="shared" si="1"/>
        <v>2</v>
      </c>
      <c r="AN10">
        <f t="shared" si="2"/>
        <v>3</v>
      </c>
      <c r="AO10">
        <f t="shared" si="3"/>
        <v>1</v>
      </c>
      <c r="AP10">
        <f t="shared" si="4"/>
        <v>0</v>
      </c>
      <c r="AQ10">
        <f t="shared" si="5"/>
        <v>3</v>
      </c>
      <c r="AS10" s="20">
        <v>4124</v>
      </c>
      <c r="AT10" s="21" t="s">
        <v>87</v>
      </c>
    </row>
    <row r="11" spans="1:46" ht="21" customHeight="1" thickBot="1">
      <c r="A11" s="1" t="s">
        <v>59</v>
      </c>
      <c r="B11" s="2" t="s">
        <v>60</v>
      </c>
      <c r="C11" s="2" t="s">
        <v>61</v>
      </c>
      <c r="D11" s="3">
        <v>3167101689</v>
      </c>
      <c r="E11" s="4" t="s">
        <v>62</v>
      </c>
      <c r="F11" s="5">
        <v>45444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4" t="s">
        <v>38</v>
      </c>
      <c r="AC11" s="4" t="s">
        <v>38</v>
      </c>
      <c r="AD11" s="7" t="s">
        <v>39</v>
      </c>
      <c r="AE11" s="8"/>
      <c r="AF11" s="6"/>
      <c r="AG11" s="6"/>
      <c r="AH11" s="7" t="s">
        <v>38</v>
      </c>
      <c r="AI11" s="6"/>
      <c r="AJ11" s="6"/>
      <c r="AL11">
        <f t="shared" si="0"/>
        <v>0</v>
      </c>
      <c r="AM11">
        <f t="shared" si="1"/>
        <v>4</v>
      </c>
      <c r="AN11">
        <f t="shared" si="2"/>
        <v>5</v>
      </c>
      <c r="AO11">
        <f t="shared" si="3"/>
        <v>8</v>
      </c>
      <c r="AP11">
        <f t="shared" si="4"/>
        <v>0</v>
      </c>
      <c r="AQ11">
        <f t="shared" si="5"/>
        <v>4</v>
      </c>
      <c r="AS11" s="20">
        <v>4124</v>
      </c>
      <c r="AT11" s="21" t="s">
        <v>87</v>
      </c>
    </row>
    <row r="12" spans="1:46" ht="21" customHeight="1" thickBot="1">
      <c r="A12" s="1" t="s">
        <v>59</v>
      </c>
      <c r="B12" s="2" t="s">
        <v>63</v>
      </c>
      <c r="C12" s="2" t="s">
        <v>64</v>
      </c>
      <c r="D12" s="3">
        <v>3128669498</v>
      </c>
      <c r="E12" s="4" t="s">
        <v>37</v>
      </c>
      <c r="F12" s="5">
        <v>45292</v>
      </c>
      <c r="G12" s="6"/>
      <c r="H12" s="6"/>
      <c r="I12" s="6"/>
      <c r="J12" s="7" t="s">
        <v>38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4" t="s">
        <v>38</v>
      </c>
      <c r="Z12" s="6"/>
      <c r="AA12" s="4" t="s">
        <v>38</v>
      </c>
      <c r="AB12" s="6"/>
      <c r="AC12" s="4" t="s">
        <v>38</v>
      </c>
      <c r="AD12" s="7" t="s">
        <v>65</v>
      </c>
      <c r="AE12" s="8"/>
      <c r="AF12" s="6"/>
      <c r="AG12" s="6"/>
      <c r="AH12" s="7" t="s">
        <v>38</v>
      </c>
      <c r="AI12" s="6"/>
      <c r="AJ12" s="6"/>
      <c r="AL12">
        <f t="shared" si="0"/>
        <v>4</v>
      </c>
      <c r="AM12">
        <f t="shared" si="1"/>
        <v>0</v>
      </c>
      <c r="AN12">
        <f t="shared" si="2"/>
        <v>1</v>
      </c>
      <c r="AO12">
        <f t="shared" si="3"/>
        <v>3</v>
      </c>
      <c r="AP12">
        <f t="shared" si="4"/>
        <v>1</v>
      </c>
      <c r="AQ12">
        <f t="shared" si="5"/>
        <v>4</v>
      </c>
      <c r="AS12" s="20">
        <v>4124</v>
      </c>
      <c r="AT12" s="21" t="s">
        <v>87</v>
      </c>
    </row>
    <row r="13" spans="1:46" ht="21" customHeight="1" thickBot="1">
      <c r="A13" s="1" t="s">
        <v>66</v>
      </c>
      <c r="B13" s="2" t="s">
        <v>67</v>
      </c>
      <c r="C13" s="2" t="s">
        <v>68</v>
      </c>
      <c r="D13" s="3">
        <v>3114310733</v>
      </c>
      <c r="E13" s="4" t="s">
        <v>69</v>
      </c>
      <c r="F13" s="5">
        <v>45292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 t="s">
        <v>38</v>
      </c>
      <c r="T13" s="6"/>
      <c r="U13" s="6"/>
      <c r="V13" s="6"/>
      <c r="W13" s="6"/>
      <c r="X13" s="6"/>
      <c r="Y13" s="4" t="s">
        <v>38</v>
      </c>
      <c r="Z13" s="6"/>
      <c r="AA13" s="4" t="s">
        <v>38</v>
      </c>
      <c r="AB13" s="6"/>
      <c r="AC13" s="6"/>
      <c r="AD13" s="7" t="s">
        <v>39</v>
      </c>
      <c r="AE13" s="8"/>
      <c r="AF13" s="7" t="s">
        <v>38</v>
      </c>
      <c r="AG13" s="6"/>
      <c r="AH13" s="6"/>
      <c r="AI13" s="6"/>
      <c r="AJ13" s="6"/>
      <c r="AL13">
        <f t="shared" si="0"/>
        <v>0</v>
      </c>
      <c r="AM13">
        <f t="shared" si="1"/>
        <v>2</v>
      </c>
      <c r="AN13">
        <f t="shared" si="2"/>
        <v>3</v>
      </c>
      <c r="AO13">
        <f t="shared" si="3"/>
        <v>2</v>
      </c>
      <c r="AP13">
        <f t="shared" si="4"/>
        <v>0</v>
      </c>
      <c r="AQ13">
        <f t="shared" si="5"/>
        <v>2</v>
      </c>
      <c r="AS13" s="20">
        <v>4124</v>
      </c>
      <c r="AT13" s="21" t="s">
        <v>87</v>
      </c>
    </row>
    <row r="14" spans="1:46" ht="21" customHeight="1" thickBot="1">
      <c r="A14" s="1" t="s">
        <v>66</v>
      </c>
      <c r="B14" s="2" t="s">
        <v>70</v>
      </c>
      <c r="C14" s="2" t="s">
        <v>71</v>
      </c>
      <c r="D14" s="3">
        <v>3113665258</v>
      </c>
      <c r="E14" s="4" t="s">
        <v>50</v>
      </c>
      <c r="F14" s="5">
        <v>45292</v>
      </c>
      <c r="G14" s="7" t="s">
        <v>38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" t="s">
        <v>38</v>
      </c>
      <c r="Z14" s="6"/>
      <c r="AA14" s="6"/>
      <c r="AB14" s="6"/>
      <c r="AC14" s="6" t="s">
        <v>80</v>
      </c>
      <c r="AD14" s="7" t="s">
        <v>65</v>
      </c>
      <c r="AE14" s="11" t="s">
        <v>38</v>
      </c>
      <c r="AF14" s="6"/>
      <c r="AG14" s="6"/>
      <c r="AH14" s="6"/>
      <c r="AI14" s="6"/>
      <c r="AJ14" s="6"/>
      <c r="AL14">
        <f t="shared" si="0"/>
        <v>1</v>
      </c>
      <c r="AM14">
        <f t="shared" si="1"/>
        <v>0</v>
      </c>
      <c r="AN14">
        <f t="shared" si="2"/>
        <v>1</v>
      </c>
      <c r="AO14">
        <f t="shared" si="3"/>
        <v>1</v>
      </c>
      <c r="AP14">
        <f t="shared" si="4"/>
        <v>1</v>
      </c>
      <c r="AQ14">
        <f t="shared" si="5"/>
        <v>1</v>
      </c>
      <c r="AS14" s="20">
        <v>4124</v>
      </c>
      <c r="AT14" s="21" t="s">
        <v>87</v>
      </c>
    </row>
    <row r="15" spans="1:46" ht="21" customHeight="1" thickBot="1">
      <c r="A15" s="1" t="s">
        <v>72</v>
      </c>
      <c r="B15" s="2" t="s">
        <v>73</v>
      </c>
      <c r="C15" s="2" t="s">
        <v>74</v>
      </c>
      <c r="D15" s="3">
        <v>3123274074</v>
      </c>
      <c r="E15" s="4" t="s">
        <v>75</v>
      </c>
      <c r="F15" s="5">
        <v>45474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 t="s">
        <v>38</v>
      </c>
      <c r="U15" s="6"/>
      <c r="V15" s="6"/>
      <c r="W15" s="6"/>
      <c r="X15" s="6"/>
      <c r="Y15" s="4" t="s">
        <v>38</v>
      </c>
      <c r="Z15" s="6"/>
      <c r="AA15" s="4" t="s">
        <v>38</v>
      </c>
      <c r="AB15" s="6"/>
      <c r="AC15" s="6"/>
      <c r="AD15" s="7" t="s">
        <v>39</v>
      </c>
      <c r="AE15" s="8"/>
      <c r="AF15" s="6"/>
      <c r="AG15" s="7" t="s">
        <v>38</v>
      </c>
      <c r="AH15" s="6"/>
      <c r="AI15" s="6"/>
      <c r="AJ15" s="6"/>
      <c r="AL15">
        <f t="shared" si="0"/>
        <v>0</v>
      </c>
      <c r="AM15">
        <f t="shared" si="1"/>
        <v>3</v>
      </c>
      <c r="AN15">
        <f t="shared" si="2"/>
        <v>4</v>
      </c>
      <c r="AO15">
        <f t="shared" si="3"/>
        <v>2</v>
      </c>
      <c r="AP15">
        <f t="shared" si="4"/>
        <v>0</v>
      </c>
      <c r="AQ15">
        <f t="shared" si="5"/>
        <v>3</v>
      </c>
      <c r="AS15" s="20">
        <v>4124</v>
      </c>
      <c r="AT15" s="21" t="s">
        <v>87</v>
      </c>
    </row>
    <row r="16" spans="1:46" ht="21" customHeight="1" thickBot="1">
      <c r="A16" s="1" t="s">
        <v>76</v>
      </c>
      <c r="B16" s="2" t="s">
        <v>77</v>
      </c>
      <c r="C16" s="2" t="s">
        <v>78</v>
      </c>
      <c r="D16" s="3">
        <v>3178341515</v>
      </c>
      <c r="E16" s="4" t="s">
        <v>79</v>
      </c>
      <c r="F16" s="5">
        <v>45292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 t="s">
        <v>38</v>
      </c>
      <c r="U16" s="6"/>
      <c r="V16" s="6"/>
      <c r="W16" s="6"/>
      <c r="X16" s="6"/>
      <c r="Y16" s="4" t="s">
        <v>38</v>
      </c>
      <c r="Z16" s="6"/>
      <c r="AA16" s="4" t="s">
        <v>38</v>
      </c>
      <c r="AB16" s="6"/>
      <c r="AC16" s="6"/>
      <c r="AD16" s="7" t="s">
        <v>39</v>
      </c>
      <c r="AE16" s="8"/>
      <c r="AF16" s="6"/>
      <c r="AG16" s="7" t="s">
        <v>38</v>
      </c>
      <c r="AH16" s="6"/>
      <c r="AI16" s="6"/>
      <c r="AJ16" s="6"/>
      <c r="AL16">
        <f t="shared" si="0"/>
        <v>0</v>
      </c>
      <c r="AM16">
        <f t="shared" si="1"/>
        <v>3</v>
      </c>
      <c r="AN16">
        <f t="shared" si="2"/>
        <v>4</v>
      </c>
      <c r="AO16">
        <f t="shared" si="3"/>
        <v>2</v>
      </c>
      <c r="AP16">
        <f t="shared" si="4"/>
        <v>0</v>
      </c>
      <c r="AQ16">
        <f t="shared" si="5"/>
        <v>3</v>
      </c>
      <c r="AS16" s="20">
        <v>4124</v>
      </c>
      <c r="AT16" s="21" t="s">
        <v>87</v>
      </c>
    </row>
    <row r="17" spans="1:46" ht="21" customHeight="1" thickBot="1">
      <c r="A17" s="22" t="s">
        <v>88</v>
      </c>
      <c r="B17" s="23" t="s">
        <v>89</v>
      </c>
      <c r="C17" s="24" t="s">
        <v>90</v>
      </c>
      <c r="D17" s="23">
        <v>3157159525</v>
      </c>
      <c r="E17" s="25">
        <v>5</v>
      </c>
      <c r="F17" s="26">
        <v>45323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5" t="s">
        <v>38</v>
      </c>
      <c r="V17" s="23" t="s">
        <v>38</v>
      </c>
      <c r="W17" s="23" t="s">
        <v>38</v>
      </c>
      <c r="X17" s="23" t="s">
        <v>38</v>
      </c>
      <c r="Y17" s="23" t="s">
        <v>38</v>
      </c>
      <c r="Z17" s="23" t="s">
        <v>38</v>
      </c>
      <c r="AA17" s="23" t="s">
        <v>38</v>
      </c>
      <c r="AB17" s="23" t="s">
        <v>38</v>
      </c>
      <c r="AC17" s="27"/>
      <c r="AD17" s="7" t="s">
        <v>65</v>
      </c>
      <c r="AE17" s="32"/>
      <c r="AF17" s="27"/>
      <c r="AG17" s="27"/>
      <c r="AH17" s="27"/>
      <c r="AI17" s="25" t="s">
        <v>38</v>
      </c>
      <c r="AJ17" s="27"/>
      <c r="AL17">
        <f t="shared" ref="AL17:AL21" si="6">IFERROR(CHOOSE(MATCH("X",G17:Q17,0),1,2,3,4,4,4,4,4,4,4,5,6),0)</f>
        <v>0</v>
      </c>
      <c r="AM17">
        <f t="shared" ref="AM17:AM21" si="7">IFERROR(MATCH("X",R17:U17,0),0)</f>
        <v>4</v>
      </c>
      <c r="AN17">
        <f t="shared" ref="AN17:AN21" si="8">IF(AL17&gt;0,1,IF(AM17&gt;0,AM17+1,""))</f>
        <v>5</v>
      </c>
      <c r="AO17">
        <f t="shared" ref="AO17:AO21" si="9">COUNTIF(V17:AC17,"X")</f>
        <v>7</v>
      </c>
      <c r="AP17">
        <f t="shared" ref="AP17:AP21" si="10">IF(AD17="SI",1,0)</f>
        <v>1</v>
      </c>
      <c r="AQ17">
        <f t="shared" ref="AQ17:AQ21" si="11">IFERROR(MATCH("X",AE17:AJ17,0),0)</f>
        <v>5</v>
      </c>
      <c r="AS17" s="20">
        <v>4135</v>
      </c>
      <c r="AT17" t="s">
        <v>104</v>
      </c>
    </row>
    <row r="18" spans="1:46" ht="21" customHeight="1" thickBot="1">
      <c r="A18" s="28" t="s">
        <v>91</v>
      </c>
      <c r="B18" s="4" t="s">
        <v>92</v>
      </c>
      <c r="C18" s="30" t="s">
        <v>93</v>
      </c>
      <c r="D18" s="4">
        <v>3155617976</v>
      </c>
      <c r="E18" s="7">
        <v>10</v>
      </c>
      <c r="F18" s="5">
        <v>45689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 t="s">
        <v>94</v>
      </c>
      <c r="U18" s="6"/>
      <c r="V18" s="4" t="s">
        <v>38</v>
      </c>
      <c r="W18" s="4" t="s">
        <v>38</v>
      </c>
      <c r="X18" s="4" t="s">
        <v>38</v>
      </c>
      <c r="Y18" s="4" t="s">
        <v>38</v>
      </c>
      <c r="Z18" s="4" t="s">
        <v>38</v>
      </c>
      <c r="AA18" s="4" t="s">
        <v>38</v>
      </c>
      <c r="AB18" s="4" t="s">
        <v>38</v>
      </c>
      <c r="AC18" s="6"/>
      <c r="AD18" s="7" t="s">
        <v>65</v>
      </c>
      <c r="AE18" s="8"/>
      <c r="AF18" s="6"/>
      <c r="AG18" s="6"/>
      <c r="AH18" s="7" t="s">
        <v>38</v>
      </c>
      <c r="AI18" s="6"/>
      <c r="AJ18" s="6"/>
      <c r="AL18">
        <f t="shared" si="6"/>
        <v>0</v>
      </c>
      <c r="AM18">
        <f t="shared" si="7"/>
        <v>3</v>
      </c>
      <c r="AN18">
        <f t="shared" si="8"/>
        <v>4</v>
      </c>
      <c r="AO18">
        <f t="shared" si="9"/>
        <v>7</v>
      </c>
      <c r="AP18">
        <f t="shared" si="10"/>
        <v>1</v>
      </c>
      <c r="AQ18">
        <f t="shared" si="11"/>
        <v>4</v>
      </c>
      <c r="AS18">
        <v>4135</v>
      </c>
      <c r="AT18" t="s">
        <v>104</v>
      </c>
    </row>
    <row r="19" spans="1:46" ht="21" customHeight="1" thickBot="1">
      <c r="A19" s="28" t="s">
        <v>95</v>
      </c>
      <c r="B19" s="4" t="s">
        <v>96</v>
      </c>
      <c r="C19" s="30" t="s">
        <v>97</v>
      </c>
      <c r="D19" s="4">
        <v>3112465334</v>
      </c>
      <c r="E19" s="7">
        <v>5</v>
      </c>
      <c r="F19" s="5">
        <v>45323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 t="s">
        <v>38</v>
      </c>
      <c r="V19" s="4" t="s">
        <v>38</v>
      </c>
      <c r="W19" s="4" t="s">
        <v>38</v>
      </c>
      <c r="X19" s="4" t="s">
        <v>38</v>
      </c>
      <c r="Y19" s="4" t="s">
        <v>38</v>
      </c>
      <c r="Z19" s="4" t="s">
        <v>38</v>
      </c>
      <c r="AA19" s="4" t="s">
        <v>38</v>
      </c>
      <c r="AB19" s="4" t="s">
        <v>38</v>
      </c>
      <c r="AC19" s="6"/>
      <c r="AD19" s="7" t="s">
        <v>65</v>
      </c>
      <c r="AE19" s="8"/>
      <c r="AF19" s="6"/>
      <c r="AG19" s="6"/>
      <c r="AH19" s="6"/>
      <c r="AI19" s="7" t="s">
        <v>94</v>
      </c>
      <c r="AJ19" s="6"/>
      <c r="AL19">
        <f t="shared" si="6"/>
        <v>0</v>
      </c>
      <c r="AM19">
        <f t="shared" si="7"/>
        <v>4</v>
      </c>
      <c r="AN19">
        <f t="shared" si="8"/>
        <v>5</v>
      </c>
      <c r="AO19">
        <f t="shared" si="9"/>
        <v>7</v>
      </c>
      <c r="AP19">
        <f t="shared" si="10"/>
        <v>1</v>
      </c>
      <c r="AQ19">
        <f t="shared" si="11"/>
        <v>5</v>
      </c>
      <c r="AS19">
        <v>4135</v>
      </c>
      <c r="AT19" t="s">
        <v>104</v>
      </c>
    </row>
    <row r="20" spans="1:46" ht="21" customHeight="1" thickBot="1">
      <c r="A20" s="28" t="s">
        <v>98</v>
      </c>
      <c r="B20" s="4" t="s">
        <v>99</v>
      </c>
      <c r="C20" s="30" t="s">
        <v>100</v>
      </c>
      <c r="D20" s="4">
        <v>3212145182</v>
      </c>
      <c r="E20" s="7">
        <v>40</v>
      </c>
      <c r="F20" s="5">
        <v>45323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 t="s">
        <v>38</v>
      </c>
      <c r="V20" s="4" t="s">
        <v>38</v>
      </c>
      <c r="W20" s="4" t="s">
        <v>38</v>
      </c>
      <c r="X20" s="4" t="s">
        <v>38</v>
      </c>
      <c r="Y20" s="4" t="s">
        <v>38</v>
      </c>
      <c r="Z20" s="4" t="s">
        <v>38</v>
      </c>
      <c r="AA20" s="4" t="s">
        <v>38</v>
      </c>
      <c r="AB20" s="4" t="s">
        <v>38</v>
      </c>
      <c r="AC20" s="6"/>
      <c r="AD20" s="7" t="s">
        <v>65</v>
      </c>
      <c r="AE20" s="8"/>
      <c r="AF20" s="6"/>
      <c r="AG20" s="6"/>
      <c r="AH20" s="7" t="s">
        <v>94</v>
      </c>
      <c r="AI20" s="6"/>
      <c r="AJ20" s="6"/>
      <c r="AL20">
        <f t="shared" si="6"/>
        <v>0</v>
      </c>
      <c r="AM20">
        <f t="shared" si="7"/>
        <v>4</v>
      </c>
      <c r="AN20">
        <f t="shared" si="8"/>
        <v>5</v>
      </c>
      <c r="AO20">
        <f t="shared" si="9"/>
        <v>7</v>
      </c>
      <c r="AP20">
        <f t="shared" si="10"/>
        <v>1</v>
      </c>
      <c r="AQ20">
        <f t="shared" si="11"/>
        <v>4</v>
      </c>
      <c r="AS20">
        <v>4135</v>
      </c>
      <c r="AT20" t="s">
        <v>104</v>
      </c>
    </row>
    <row r="21" spans="1:46" ht="21" customHeight="1" thickBot="1">
      <c r="A21" s="28" t="s">
        <v>101</v>
      </c>
      <c r="B21" s="4" t="s">
        <v>102</v>
      </c>
      <c r="C21" s="30" t="s">
        <v>103</v>
      </c>
      <c r="D21" s="4">
        <v>3013452601</v>
      </c>
      <c r="E21" s="7">
        <v>10</v>
      </c>
      <c r="F21" s="5">
        <v>42767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 t="s">
        <v>38</v>
      </c>
      <c r="V21" s="4" t="s">
        <v>38</v>
      </c>
      <c r="W21" s="4" t="s">
        <v>38</v>
      </c>
      <c r="X21" s="4" t="s">
        <v>38</v>
      </c>
      <c r="Y21" s="4" t="s">
        <v>38</v>
      </c>
      <c r="Z21" s="4" t="s">
        <v>38</v>
      </c>
      <c r="AA21" s="4" t="s">
        <v>38</v>
      </c>
      <c r="AB21" s="4" t="s">
        <v>38</v>
      </c>
      <c r="AC21" s="6"/>
      <c r="AD21" s="7" t="s">
        <v>65</v>
      </c>
      <c r="AE21" s="8"/>
      <c r="AF21" s="6"/>
      <c r="AG21" s="6"/>
      <c r="AH21" s="7" t="s">
        <v>38</v>
      </c>
      <c r="AI21" s="6"/>
      <c r="AJ21" s="6"/>
      <c r="AL21">
        <f t="shared" si="6"/>
        <v>0</v>
      </c>
      <c r="AM21">
        <f t="shared" si="7"/>
        <v>4</v>
      </c>
      <c r="AN21">
        <f t="shared" si="8"/>
        <v>5</v>
      </c>
      <c r="AO21">
        <f t="shared" si="9"/>
        <v>7</v>
      </c>
      <c r="AP21">
        <f t="shared" si="10"/>
        <v>1</v>
      </c>
      <c r="AQ21">
        <f t="shared" si="11"/>
        <v>4</v>
      </c>
      <c r="AS21">
        <v>4135</v>
      </c>
      <c r="AT21" t="s">
        <v>104</v>
      </c>
    </row>
    <row r="22" spans="1:46" ht="21" customHeight="1" thickBot="1">
      <c r="A22" s="34" t="s">
        <v>105</v>
      </c>
      <c r="B22" s="35" t="s">
        <v>106</v>
      </c>
      <c r="C22" s="36" t="s">
        <v>107</v>
      </c>
      <c r="D22" s="37">
        <v>3112801088</v>
      </c>
      <c r="E22" s="38"/>
      <c r="F22" s="39">
        <v>45536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7" t="s">
        <v>38</v>
      </c>
      <c r="U22" s="38"/>
      <c r="V22" s="37" t="s">
        <v>38</v>
      </c>
      <c r="W22" s="38"/>
      <c r="X22" s="37" t="s">
        <v>38</v>
      </c>
      <c r="Y22" s="38"/>
      <c r="Z22" s="38"/>
      <c r="AA22" s="38"/>
      <c r="AB22" s="38"/>
      <c r="AC22" s="38"/>
      <c r="AD22" s="37" t="s">
        <v>108</v>
      </c>
      <c r="AE22" s="32"/>
      <c r="AF22" s="38"/>
      <c r="AG22" s="37" t="s">
        <v>38</v>
      </c>
      <c r="AH22" s="38"/>
      <c r="AI22" s="38"/>
      <c r="AJ22" s="38"/>
      <c r="AL22">
        <f t="shared" ref="AL22:AL31" si="12">IFERROR(CHOOSE(MATCH("X",G22:Q22,0),1,2,3,4,4,4,4,4,4,4,5,6),0)</f>
        <v>0</v>
      </c>
      <c r="AM22">
        <f t="shared" ref="AM22:AM31" si="13">IFERROR(MATCH("X",R22:U22,0),0)</f>
        <v>3</v>
      </c>
      <c r="AN22">
        <f t="shared" ref="AN22:AN31" si="14">IF(AL22&gt;0,1,IF(AM22&gt;0,AM22+1,""))</f>
        <v>4</v>
      </c>
      <c r="AO22">
        <f t="shared" ref="AO22:AO31" si="15">COUNTIF(V22:AC22,"X")</f>
        <v>2</v>
      </c>
      <c r="AP22">
        <f t="shared" ref="AP22:AP30" si="16">IF(AD22="SI",1,0)</f>
        <v>0</v>
      </c>
      <c r="AQ22">
        <f t="shared" ref="AQ22:AQ31" si="17">IFERROR(MATCH("X",AE22:AJ22,0),0)</f>
        <v>3</v>
      </c>
      <c r="AS22">
        <v>4133</v>
      </c>
      <c r="AT22" t="s">
        <v>136</v>
      </c>
    </row>
    <row r="23" spans="1:46" ht="21" customHeight="1" thickBot="1">
      <c r="A23" s="40" t="s">
        <v>109</v>
      </c>
      <c r="B23" s="41" t="s">
        <v>110</v>
      </c>
      <c r="C23" s="42" t="s">
        <v>111</v>
      </c>
      <c r="D23" s="43">
        <v>3132714854</v>
      </c>
      <c r="E23" s="44"/>
      <c r="F23" s="45">
        <v>42826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3" t="s">
        <v>38</v>
      </c>
      <c r="U23" s="44"/>
      <c r="V23" s="43" t="s">
        <v>38</v>
      </c>
      <c r="W23" s="44"/>
      <c r="X23" s="43" t="s">
        <v>38</v>
      </c>
      <c r="Y23" s="44"/>
      <c r="Z23" s="44"/>
      <c r="AA23" s="44"/>
      <c r="AB23" s="44"/>
      <c r="AC23" s="44"/>
      <c r="AD23" s="43" t="s">
        <v>108</v>
      </c>
      <c r="AE23" s="8"/>
      <c r="AF23" s="44"/>
      <c r="AG23" s="43" t="s">
        <v>38</v>
      </c>
      <c r="AH23" s="44"/>
      <c r="AI23" s="44"/>
      <c r="AJ23" s="44"/>
      <c r="AL23">
        <f t="shared" si="12"/>
        <v>0</v>
      </c>
      <c r="AM23">
        <f t="shared" si="13"/>
        <v>3</v>
      </c>
      <c r="AN23">
        <f t="shared" si="14"/>
        <v>4</v>
      </c>
      <c r="AO23">
        <f t="shared" si="15"/>
        <v>2</v>
      </c>
      <c r="AP23">
        <f t="shared" si="16"/>
        <v>0</v>
      </c>
      <c r="AQ23">
        <f t="shared" si="17"/>
        <v>3</v>
      </c>
      <c r="AS23">
        <v>4133</v>
      </c>
      <c r="AT23" t="s">
        <v>136</v>
      </c>
    </row>
    <row r="24" spans="1:46" ht="21" customHeight="1" thickBot="1">
      <c r="A24" s="40" t="s">
        <v>112</v>
      </c>
      <c r="B24" s="41" t="s">
        <v>113</v>
      </c>
      <c r="C24" s="41" t="s">
        <v>114</v>
      </c>
      <c r="D24" s="43">
        <v>3106033219</v>
      </c>
      <c r="E24" s="44"/>
      <c r="F24" s="45">
        <v>45444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3" t="s">
        <v>38</v>
      </c>
      <c r="U24" s="44"/>
      <c r="V24" s="43" t="s">
        <v>38</v>
      </c>
      <c r="W24" s="44"/>
      <c r="X24" s="43" t="s">
        <v>38</v>
      </c>
      <c r="Y24" s="44"/>
      <c r="Z24" s="44"/>
      <c r="AA24" s="44"/>
      <c r="AB24" s="44"/>
      <c r="AC24" s="44"/>
      <c r="AD24" s="43" t="s">
        <v>108</v>
      </c>
      <c r="AE24" s="8"/>
      <c r="AF24" s="44"/>
      <c r="AG24" s="43" t="s">
        <v>38</v>
      </c>
      <c r="AH24" s="44"/>
      <c r="AI24" s="44"/>
      <c r="AJ24" s="44"/>
      <c r="AL24">
        <f t="shared" si="12"/>
        <v>0</v>
      </c>
      <c r="AM24">
        <f t="shared" si="13"/>
        <v>3</v>
      </c>
      <c r="AN24">
        <f t="shared" si="14"/>
        <v>4</v>
      </c>
      <c r="AO24">
        <f t="shared" si="15"/>
        <v>2</v>
      </c>
      <c r="AP24">
        <f t="shared" si="16"/>
        <v>0</v>
      </c>
      <c r="AQ24">
        <f t="shared" si="17"/>
        <v>3</v>
      </c>
      <c r="AS24">
        <v>4133</v>
      </c>
      <c r="AT24" t="s">
        <v>136</v>
      </c>
    </row>
    <row r="25" spans="1:46" ht="21" customHeight="1" thickBot="1">
      <c r="A25" s="40" t="s">
        <v>115</v>
      </c>
      <c r="B25" s="41" t="s">
        <v>116</v>
      </c>
      <c r="C25" s="46" t="s">
        <v>117</v>
      </c>
      <c r="D25" s="43">
        <v>3183837135</v>
      </c>
      <c r="E25" s="44"/>
      <c r="F25" s="45">
        <v>45536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3" t="s">
        <v>38</v>
      </c>
      <c r="U25" s="44"/>
      <c r="V25" s="43" t="s">
        <v>38</v>
      </c>
      <c r="W25" s="44"/>
      <c r="X25" s="43" t="s">
        <v>38</v>
      </c>
      <c r="Y25" s="43" t="s">
        <v>38</v>
      </c>
      <c r="Z25" s="44"/>
      <c r="AA25" s="47" t="s">
        <v>38</v>
      </c>
      <c r="AB25" s="44"/>
      <c r="AC25" s="44"/>
      <c r="AD25" s="43" t="s">
        <v>108</v>
      </c>
      <c r="AE25" s="8"/>
      <c r="AF25" s="44"/>
      <c r="AG25" s="43" t="s">
        <v>38</v>
      </c>
      <c r="AH25" s="44"/>
      <c r="AI25" s="44"/>
      <c r="AJ25" s="44"/>
      <c r="AL25">
        <f t="shared" si="12"/>
        <v>0</v>
      </c>
      <c r="AM25">
        <f t="shared" si="13"/>
        <v>3</v>
      </c>
      <c r="AN25">
        <f t="shared" si="14"/>
        <v>4</v>
      </c>
      <c r="AO25">
        <f t="shared" si="15"/>
        <v>4</v>
      </c>
      <c r="AP25">
        <f t="shared" si="16"/>
        <v>0</v>
      </c>
      <c r="AQ25">
        <f t="shared" si="17"/>
        <v>3</v>
      </c>
      <c r="AS25">
        <v>4133</v>
      </c>
      <c r="AT25" t="s">
        <v>136</v>
      </c>
    </row>
    <row r="26" spans="1:46" ht="21" customHeight="1" thickBot="1">
      <c r="A26" s="40" t="s">
        <v>118</v>
      </c>
      <c r="B26" s="41" t="s">
        <v>119</v>
      </c>
      <c r="C26" s="42" t="s">
        <v>120</v>
      </c>
      <c r="D26" s="44"/>
      <c r="E26" s="44"/>
      <c r="F26" s="45">
        <v>45536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3" t="s">
        <v>38</v>
      </c>
      <c r="U26" s="44"/>
      <c r="V26" s="43" t="s">
        <v>38</v>
      </c>
      <c r="W26" s="44"/>
      <c r="X26" s="43" t="s">
        <v>38</v>
      </c>
      <c r="Y26" s="44"/>
      <c r="Z26" s="44"/>
      <c r="AA26" s="44"/>
      <c r="AB26" s="44"/>
      <c r="AC26" s="44"/>
      <c r="AD26" s="43" t="s">
        <v>108</v>
      </c>
      <c r="AE26" s="8"/>
      <c r="AF26" s="44"/>
      <c r="AG26" s="43" t="s">
        <v>38</v>
      </c>
      <c r="AH26" s="44"/>
      <c r="AI26" s="44"/>
      <c r="AJ26" s="44"/>
      <c r="AL26">
        <f t="shared" si="12"/>
        <v>0</v>
      </c>
      <c r="AM26">
        <f t="shared" si="13"/>
        <v>3</v>
      </c>
      <c r="AN26">
        <f t="shared" si="14"/>
        <v>4</v>
      </c>
      <c r="AO26">
        <f t="shared" si="15"/>
        <v>2</v>
      </c>
      <c r="AP26">
        <f t="shared" si="16"/>
        <v>0</v>
      </c>
      <c r="AQ26">
        <f t="shared" si="17"/>
        <v>3</v>
      </c>
      <c r="AS26">
        <v>4133</v>
      </c>
      <c r="AT26" t="s">
        <v>136</v>
      </c>
    </row>
    <row r="27" spans="1:46" ht="21" customHeight="1" thickBot="1">
      <c r="A27" s="40" t="s">
        <v>121</v>
      </c>
      <c r="B27" s="41" t="s">
        <v>122</v>
      </c>
      <c r="C27" s="41" t="s">
        <v>123</v>
      </c>
      <c r="D27" s="43">
        <v>3147296377</v>
      </c>
      <c r="E27" s="44"/>
      <c r="F27" s="45">
        <v>45536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3" t="s">
        <v>38</v>
      </c>
      <c r="U27" s="44"/>
      <c r="V27" s="43" t="s">
        <v>38</v>
      </c>
      <c r="W27" s="44"/>
      <c r="X27" s="43" t="s">
        <v>38</v>
      </c>
      <c r="Y27" s="44"/>
      <c r="Z27" s="44"/>
      <c r="AA27" s="44"/>
      <c r="AB27" s="44"/>
      <c r="AC27" s="44"/>
      <c r="AD27" s="43" t="s">
        <v>108</v>
      </c>
      <c r="AE27" s="8"/>
      <c r="AF27" s="44"/>
      <c r="AG27" s="43" t="s">
        <v>38</v>
      </c>
      <c r="AH27" s="44"/>
      <c r="AI27" s="44"/>
      <c r="AJ27" s="44"/>
      <c r="AL27">
        <f t="shared" si="12"/>
        <v>0</v>
      </c>
      <c r="AM27">
        <f t="shared" si="13"/>
        <v>3</v>
      </c>
      <c r="AN27">
        <f t="shared" si="14"/>
        <v>4</v>
      </c>
      <c r="AO27">
        <f t="shared" si="15"/>
        <v>2</v>
      </c>
      <c r="AP27">
        <f t="shared" si="16"/>
        <v>0</v>
      </c>
      <c r="AQ27">
        <f t="shared" si="17"/>
        <v>3</v>
      </c>
      <c r="AS27">
        <v>4133</v>
      </c>
      <c r="AT27" t="s">
        <v>136</v>
      </c>
    </row>
    <row r="28" spans="1:46" ht="21" customHeight="1" thickBot="1">
      <c r="A28" s="48" t="s">
        <v>124</v>
      </c>
      <c r="B28" s="49" t="s">
        <v>125</v>
      </c>
      <c r="C28" s="50" t="s">
        <v>126</v>
      </c>
      <c r="D28" s="43">
        <v>3163387204</v>
      </c>
      <c r="E28" s="44"/>
      <c r="F28" s="45">
        <v>45536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3" t="s">
        <v>38</v>
      </c>
      <c r="U28" s="44"/>
      <c r="V28" s="43" t="s">
        <v>38</v>
      </c>
      <c r="W28" s="44"/>
      <c r="X28" s="43" t="s">
        <v>38</v>
      </c>
      <c r="Y28" s="43" t="s">
        <v>38</v>
      </c>
      <c r="Z28" s="44"/>
      <c r="AA28" s="47" t="s">
        <v>38</v>
      </c>
      <c r="AB28" s="44"/>
      <c r="AC28" s="44"/>
      <c r="AD28" s="43" t="s">
        <v>108</v>
      </c>
      <c r="AE28" s="8"/>
      <c r="AF28" s="44"/>
      <c r="AG28" s="43" t="s">
        <v>38</v>
      </c>
      <c r="AH28" s="44"/>
      <c r="AI28" s="44"/>
      <c r="AJ28" s="44"/>
      <c r="AL28">
        <f t="shared" si="12"/>
        <v>0</v>
      </c>
      <c r="AM28">
        <f t="shared" si="13"/>
        <v>3</v>
      </c>
      <c r="AN28">
        <f t="shared" si="14"/>
        <v>4</v>
      </c>
      <c r="AO28">
        <f t="shared" si="15"/>
        <v>4</v>
      </c>
      <c r="AP28">
        <f t="shared" si="16"/>
        <v>0</v>
      </c>
      <c r="AQ28">
        <f t="shared" si="17"/>
        <v>3</v>
      </c>
      <c r="AS28">
        <v>4133</v>
      </c>
      <c r="AT28" t="s">
        <v>136</v>
      </c>
    </row>
    <row r="29" spans="1:46" ht="21" customHeight="1" thickBot="1">
      <c r="A29" s="48" t="s">
        <v>127</v>
      </c>
      <c r="B29" s="49" t="s">
        <v>128</v>
      </c>
      <c r="C29" s="50" t="s">
        <v>129</v>
      </c>
      <c r="D29" s="43">
        <v>3008948452</v>
      </c>
      <c r="E29" s="44"/>
      <c r="F29" s="45">
        <v>45536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3" t="s">
        <v>38</v>
      </c>
      <c r="U29" s="44"/>
      <c r="V29" s="43" t="s">
        <v>38</v>
      </c>
      <c r="W29" s="44"/>
      <c r="X29" s="43" t="s">
        <v>38</v>
      </c>
      <c r="Y29" s="43" t="s">
        <v>38</v>
      </c>
      <c r="Z29" s="44"/>
      <c r="AA29" s="44"/>
      <c r="AB29" s="44"/>
      <c r="AC29" s="44"/>
      <c r="AD29" s="43" t="s">
        <v>108</v>
      </c>
      <c r="AE29" s="8"/>
      <c r="AF29" s="44"/>
      <c r="AG29" s="43" t="s">
        <v>38</v>
      </c>
      <c r="AH29" s="44"/>
      <c r="AI29" s="44"/>
      <c r="AJ29" s="44"/>
      <c r="AL29">
        <f t="shared" si="12"/>
        <v>0</v>
      </c>
      <c r="AM29">
        <f t="shared" si="13"/>
        <v>3</v>
      </c>
      <c r="AN29">
        <f t="shared" si="14"/>
        <v>4</v>
      </c>
      <c r="AO29">
        <f t="shared" si="15"/>
        <v>3</v>
      </c>
      <c r="AP29">
        <f t="shared" si="16"/>
        <v>0</v>
      </c>
      <c r="AQ29">
        <f t="shared" si="17"/>
        <v>3</v>
      </c>
      <c r="AS29">
        <v>4133</v>
      </c>
      <c r="AT29" t="s">
        <v>136</v>
      </c>
    </row>
    <row r="30" spans="1:46" ht="21" customHeight="1" thickBot="1">
      <c r="A30" s="48" t="s">
        <v>130</v>
      </c>
      <c r="B30" s="49" t="s">
        <v>131</v>
      </c>
      <c r="C30" s="49" t="s">
        <v>132</v>
      </c>
      <c r="D30" s="43">
        <v>3163916760</v>
      </c>
      <c r="E30" s="44"/>
      <c r="F30" s="45">
        <v>45536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3" t="s">
        <v>38</v>
      </c>
      <c r="U30" s="44"/>
      <c r="V30" s="43" t="s">
        <v>38</v>
      </c>
      <c r="W30" s="44"/>
      <c r="X30" s="43" t="s">
        <v>38</v>
      </c>
      <c r="Y30" s="43" t="s">
        <v>38</v>
      </c>
      <c r="Z30" s="44"/>
      <c r="AA30" s="44"/>
      <c r="AB30" s="44"/>
      <c r="AC30" s="44"/>
      <c r="AD30" s="43" t="s">
        <v>108</v>
      </c>
      <c r="AE30" s="8"/>
      <c r="AF30" s="44"/>
      <c r="AG30" s="43" t="s">
        <v>38</v>
      </c>
      <c r="AH30" s="44"/>
      <c r="AI30" s="44"/>
      <c r="AJ30" s="44"/>
      <c r="AL30">
        <f t="shared" si="12"/>
        <v>0</v>
      </c>
      <c r="AM30">
        <f t="shared" si="13"/>
        <v>3</v>
      </c>
      <c r="AN30">
        <f t="shared" si="14"/>
        <v>4</v>
      </c>
      <c r="AO30">
        <f t="shared" si="15"/>
        <v>3</v>
      </c>
      <c r="AP30">
        <f t="shared" si="16"/>
        <v>0</v>
      </c>
      <c r="AQ30">
        <f t="shared" si="17"/>
        <v>3</v>
      </c>
      <c r="AS30">
        <v>4133</v>
      </c>
      <c r="AT30" t="s">
        <v>136</v>
      </c>
    </row>
    <row r="31" spans="1:46" ht="21" customHeight="1" thickBot="1">
      <c r="A31" s="51" t="s">
        <v>133</v>
      </c>
      <c r="B31" s="47" t="s">
        <v>134</v>
      </c>
      <c r="C31" s="52" t="s">
        <v>135</v>
      </c>
      <c r="D31" s="53">
        <v>3016793439</v>
      </c>
      <c r="E31" s="44"/>
      <c r="F31" s="45">
        <v>45536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3" t="s">
        <v>38</v>
      </c>
      <c r="U31" s="44"/>
      <c r="V31" s="43" t="s">
        <v>38</v>
      </c>
      <c r="W31" s="43" t="s">
        <v>38</v>
      </c>
      <c r="X31" s="43" t="s">
        <v>38</v>
      </c>
      <c r="Y31" s="44"/>
      <c r="Z31" s="44"/>
      <c r="AA31" s="43" t="s">
        <v>38</v>
      </c>
      <c r="AB31" s="44"/>
      <c r="AC31" s="44"/>
      <c r="AD31" s="44"/>
      <c r="AE31" s="8"/>
      <c r="AF31" s="44"/>
      <c r="AG31" s="43" t="s">
        <v>94</v>
      </c>
      <c r="AH31" s="44"/>
      <c r="AI31" s="44"/>
      <c r="AJ31" s="44"/>
      <c r="AL31">
        <f t="shared" si="12"/>
        <v>0</v>
      </c>
      <c r="AM31">
        <f t="shared" si="13"/>
        <v>3</v>
      </c>
      <c r="AN31">
        <f t="shared" si="14"/>
        <v>4</v>
      </c>
      <c r="AO31">
        <f t="shared" si="15"/>
        <v>4</v>
      </c>
      <c r="AP31">
        <f>IF(AD31="SI",1,0)</f>
        <v>0</v>
      </c>
      <c r="AQ31">
        <f t="shared" si="17"/>
        <v>3</v>
      </c>
      <c r="AS31">
        <v>4133</v>
      </c>
      <c r="AT31" t="s">
        <v>136</v>
      </c>
    </row>
    <row r="32" spans="1:46" ht="21" customHeight="1" thickBot="1">
      <c r="A32" s="31" t="s">
        <v>137</v>
      </c>
      <c r="B32" s="23" t="s">
        <v>138</v>
      </c>
      <c r="C32" s="54" t="s">
        <v>139</v>
      </c>
      <c r="D32" s="25">
        <v>3172950439</v>
      </c>
      <c r="E32" s="25">
        <v>28</v>
      </c>
      <c r="F32" s="55">
        <v>42736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5" t="s">
        <v>38</v>
      </c>
      <c r="V32" s="25" t="s">
        <v>38</v>
      </c>
      <c r="W32" s="25" t="s">
        <v>38</v>
      </c>
      <c r="X32" s="25" t="s">
        <v>38</v>
      </c>
      <c r="Y32" s="25" t="s">
        <v>38</v>
      </c>
      <c r="Z32" s="25" t="s">
        <v>38</v>
      </c>
      <c r="AA32" s="25" t="s">
        <v>38</v>
      </c>
      <c r="AB32" s="25" t="s">
        <v>38</v>
      </c>
      <c r="AC32" s="25" t="s">
        <v>38</v>
      </c>
      <c r="AD32" s="25" t="s">
        <v>39</v>
      </c>
      <c r="AE32" s="27"/>
      <c r="AF32" s="27"/>
      <c r="AG32" s="27"/>
      <c r="AH32" s="25" t="s">
        <v>38</v>
      </c>
      <c r="AI32" s="27"/>
      <c r="AJ32" s="27"/>
      <c r="AL32">
        <f t="shared" ref="AL32:AL95" si="18">IFERROR(CHOOSE(MATCH("X",G32:Q32,0),1,2,3,4,4,4,4,4,4,4,5,6),0)</f>
        <v>0</v>
      </c>
      <c r="AM32">
        <f t="shared" ref="AM32:AM95" si="19">IFERROR(MATCH("X",R32:U32,0),0)</f>
        <v>4</v>
      </c>
      <c r="AN32">
        <f t="shared" ref="AN32:AN95" si="20">IF(AL32&gt;0,1,IF(AM32&gt;0,AM32+1,""))</f>
        <v>5</v>
      </c>
      <c r="AO32">
        <f t="shared" ref="AO32:AO95" si="21">COUNTIF(V32:AC32,"X")</f>
        <v>8</v>
      </c>
      <c r="AP32">
        <f t="shared" ref="AP32:AP95" si="22">IF(AD32="SI",1,0)</f>
        <v>0</v>
      </c>
      <c r="AQ32">
        <f t="shared" ref="AQ32:AQ95" si="23">IFERROR(MATCH("X",AE32:AJ32,0),0)</f>
        <v>4</v>
      </c>
      <c r="AS32">
        <v>4131</v>
      </c>
      <c r="AT32" t="s">
        <v>209</v>
      </c>
    </row>
    <row r="33" spans="1:46" ht="21" customHeight="1" thickBot="1">
      <c r="A33" s="33" t="s">
        <v>137</v>
      </c>
      <c r="B33" s="4" t="s">
        <v>140</v>
      </c>
      <c r="C33" s="56" t="s">
        <v>141</v>
      </c>
      <c r="D33" s="7">
        <v>3137166138</v>
      </c>
      <c r="E33" s="7">
        <v>30</v>
      </c>
      <c r="F33" s="57">
        <v>44197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39</v>
      </c>
      <c r="AE33" s="6"/>
      <c r="AF33" s="6"/>
      <c r="AG33" s="7" t="s">
        <v>38</v>
      </c>
      <c r="AH33" s="6"/>
      <c r="AI33" s="6"/>
      <c r="AJ33" s="6"/>
      <c r="AL33">
        <f t="shared" si="18"/>
        <v>0</v>
      </c>
      <c r="AM33">
        <f t="shared" si="19"/>
        <v>4</v>
      </c>
      <c r="AN33">
        <f t="shared" si="20"/>
        <v>5</v>
      </c>
      <c r="AO33">
        <f t="shared" si="21"/>
        <v>8</v>
      </c>
      <c r="AP33">
        <f t="shared" si="22"/>
        <v>0</v>
      </c>
      <c r="AQ33">
        <f t="shared" si="23"/>
        <v>3</v>
      </c>
      <c r="AS33">
        <v>4131</v>
      </c>
      <c r="AT33" t="s">
        <v>209</v>
      </c>
    </row>
    <row r="34" spans="1:46" ht="21" customHeight="1" thickBot="1">
      <c r="A34" s="33" t="s">
        <v>142</v>
      </c>
      <c r="B34" s="4" t="s">
        <v>143</v>
      </c>
      <c r="C34" s="56" t="s">
        <v>144</v>
      </c>
      <c r="D34" s="7">
        <v>3225611095</v>
      </c>
      <c r="E34" s="7">
        <v>11</v>
      </c>
      <c r="F34" s="57">
        <v>44197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 t="s">
        <v>38</v>
      </c>
      <c r="U34" s="6"/>
      <c r="V34" s="6"/>
      <c r="W34" s="6"/>
      <c r="X34" s="6"/>
      <c r="Y34" s="6"/>
      <c r="Z34" s="6"/>
      <c r="AA34" s="6"/>
      <c r="AB34" s="7" t="s">
        <v>38</v>
      </c>
      <c r="AC34" s="6"/>
      <c r="AD34" s="7" t="s">
        <v>39</v>
      </c>
      <c r="AE34" s="6"/>
      <c r="AF34" s="6"/>
      <c r="AG34" s="6"/>
      <c r="AH34" s="7" t="s">
        <v>38</v>
      </c>
      <c r="AI34" s="6"/>
      <c r="AJ34" s="6"/>
      <c r="AL34">
        <f t="shared" si="18"/>
        <v>0</v>
      </c>
      <c r="AM34">
        <f t="shared" si="19"/>
        <v>3</v>
      </c>
      <c r="AN34">
        <f t="shared" si="20"/>
        <v>4</v>
      </c>
      <c r="AO34">
        <f t="shared" si="21"/>
        <v>1</v>
      </c>
      <c r="AP34">
        <f t="shared" si="22"/>
        <v>0</v>
      </c>
      <c r="AQ34">
        <f t="shared" si="23"/>
        <v>4</v>
      </c>
      <c r="AS34">
        <v>4131</v>
      </c>
      <c r="AT34" t="s">
        <v>209</v>
      </c>
    </row>
    <row r="35" spans="1:46" ht="21" customHeight="1" thickBot="1">
      <c r="A35" s="33" t="s">
        <v>142</v>
      </c>
      <c r="B35" s="4" t="s">
        <v>145</v>
      </c>
      <c r="C35" s="56" t="s">
        <v>146</v>
      </c>
      <c r="D35" s="7">
        <v>3168226054</v>
      </c>
      <c r="E35" s="7">
        <v>6</v>
      </c>
      <c r="F35" s="57">
        <v>45017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 t="s">
        <v>38</v>
      </c>
      <c r="U35" s="6"/>
      <c r="V35" s="6"/>
      <c r="W35" s="6"/>
      <c r="X35" s="6"/>
      <c r="Y35" s="6"/>
      <c r="Z35" s="6"/>
      <c r="AA35" s="6"/>
      <c r="AB35" s="7" t="s">
        <v>38</v>
      </c>
      <c r="AC35" s="6"/>
      <c r="AD35" s="7" t="s">
        <v>39</v>
      </c>
      <c r="AE35" s="6"/>
      <c r="AF35" s="6"/>
      <c r="AG35" s="7" t="s">
        <v>38</v>
      </c>
      <c r="AH35" s="6"/>
      <c r="AI35" s="6"/>
      <c r="AJ35" s="6"/>
      <c r="AL35">
        <f t="shared" si="18"/>
        <v>0</v>
      </c>
      <c r="AM35">
        <f t="shared" si="19"/>
        <v>3</v>
      </c>
      <c r="AN35">
        <f t="shared" si="20"/>
        <v>4</v>
      </c>
      <c r="AO35">
        <f t="shared" si="21"/>
        <v>1</v>
      </c>
      <c r="AP35">
        <f t="shared" si="22"/>
        <v>0</v>
      </c>
      <c r="AQ35">
        <f t="shared" si="23"/>
        <v>3</v>
      </c>
      <c r="AS35">
        <v>4131</v>
      </c>
      <c r="AT35" t="s">
        <v>209</v>
      </c>
    </row>
    <row r="36" spans="1:46" ht="21" customHeight="1" thickBot="1">
      <c r="A36" s="58" t="s">
        <v>147</v>
      </c>
      <c r="B36" s="49" t="s">
        <v>148</v>
      </c>
      <c r="C36" s="59" t="s">
        <v>149</v>
      </c>
      <c r="D36" s="60" t="s">
        <v>150</v>
      </c>
      <c r="E36" s="60">
        <v>10</v>
      </c>
      <c r="F36" s="57">
        <v>42522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 t="s">
        <v>38</v>
      </c>
      <c r="V36" s="7" t="s">
        <v>38</v>
      </c>
      <c r="W36" s="7" t="s">
        <v>38</v>
      </c>
      <c r="X36" s="7" t="s">
        <v>38</v>
      </c>
      <c r="Y36" s="6"/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65</v>
      </c>
      <c r="AE36" s="6"/>
      <c r="AF36" s="6"/>
      <c r="AG36" s="7" t="s">
        <v>38</v>
      </c>
      <c r="AH36" s="6"/>
      <c r="AI36" s="6"/>
      <c r="AJ36" s="6"/>
      <c r="AL36">
        <f t="shared" si="18"/>
        <v>0</v>
      </c>
      <c r="AM36">
        <f t="shared" si="19"/>
        <v>4</v>
      </c>
      <c r="AN36">
        <f t="shared" si="20"/>
        <v>5</v>
      </c>
      <c r="AO36">
        <f t="shared" si="21"/>
        <v>7</v>
      </c>
      <c r="AP36">
        <f t="shared" si="22"/>
        <v>1</v>
      </c>
      <c r="AQ36">
        <f t="shared" si="23"/>
        <v>3</v>
      </c>
      <c r="AS36">
        <v>4131</v>
      </c>
      <c r="AT36" t="s">
        <v>209</v>
      </c>
    </row>
    <row r="37" spans="1:46" ht="21" customHeight="1" thickBot="1">
      <c r="A37" s="58" t="s">
        <v>147</v>
      </c>
      <c r="B37" s="49" t="s">
        <v>151</v>
      </c>
      <c r="C37" s="59" t="s">
        <v>152</v>
      </c>
      <c r="D37" s="60">
        <v>3154231399</v>
      </c>
      <c r="E37" s="60">
        <v>4</v>
      </c>
      <c r="F37" s="57">
        <v>44593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 t="s">
        <v>38</v>
      </c>
      <c r="U37" s="6"/>
      <c r="V37" s="7" t="s">
        <v>38</v>
      </c>
      <c r="W37" s="7" t="s">
        <v>38</v>
      </c>
      <c r="X37" s="7" t="s">
        <v>38</v>
      </c>
      <c r="Y37" s="6"/>
      <c r="Z37" s="7" t="s">
        <v>38</v>
      </c>
      <c r="AA37" s="7" t="s">
        <v>38</v>
      </c>
      <c r="AB37" s="7" t="s">
        <v>38</v>
      </c>
      <c r="AC37" s="6"/>
      <c r="AD37" s="7" t="s">
        <v>65</v>
      </c>
      <c r="AE37" s="6"/>
      <c r="AF37" s="6"/>
      <c r="AG37" s="6"/>
      <c r="AH37" s="6"/>
      <c r="AI37" s="7" t="s">
        <v>38</v>
      </c>
      <c r="AJ37" s="6"/>
      <c r="AL37">
        <f t="shared" si="18"/>
        <v>0</v>
      </c>
      <c r="AM37">
        <f t="shared" si="19"/>
        <v>3</v>
      </c>
      <c r="AN37">
        <f t="shared" si="20"/>
        <v>4</v>
      </c>
      <c r="AO37">
        <f t="shared" si="21"/>
        <v>6</v>
      </c>
      <c r="AP37">
        <f t="shared" si="22"/>
        <v>1</v>
      </c>
      <c r="AQ37">
        <f t="shared" si="23"/>
        <v>5</v>
      </c>
      <c r="AS37">
        <v>4131</v>
      </c>
      <c r="AT37" t="s">
        <v>209</v>
      </c>
    </row>
    <row r="38" spans="1:46" ht="21" customHeight="1" thickBot="1">
      <c r="A38" s="58" t="s">
        <v>147</v>
      </c>
      <c r="B38" s="49" t="s">
        <v>153</v>
      </c>
      <c r="C38" s="59" t="s">
        <v>154</v>
      </c>
      <c r="D38" s="60">
        <v>3187756691</v>
      </c>
      <c r="E38" s="60">
        <v>4</v>
      </c>
      <c r="F38" s="57">
        <v>44470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 t="s">
        <v>38</v>
      </c>
      <c r="U38" s="6"/>
      <c r="V38" s="6"/>
      <c r="W38" s="6"/>
      <c r="X38" s="6"/>
      <c r="Y38" s="7" t="s">
        <v>38</v>
      </c>
      <c r="Z38" s="7" t="s">
        <v>38</v>
      </c>
      <c r="AA38" s="7" t="s">
        <v>38</v>
      </c>
      <c r="AB38" s="7" t="s">
        <v>38</v>
      </c>
      <c r="AC38" s="6"/>
      <c r="AD38" s="7" t="s">
        <v>65</v>
      </c>
      <c r="AE38" s="6"/>
      <c r="AF38" s="6"/>
      <c r="AG38" s="7" t="s">
        <v>38</v>
      </c>
      <c r="AH38" s="6"/>
      <c r="AI38" s="6"/>
      <c r="AJ38" s="6"/>
      <c r="AL38">
        <f t="shared" si="18"/>
        <v>0</v>
      </c>
      <c r="AM38">
        <f t="shared" si="19"/>
        <v>3</v>
      </c>
      <c r="AN38">
        <f t="shared" si="20"/>
        <v>4</v>
      </c>
      <c r="AO38">
        <f t="shared" si="21"/>
        <v>4</v>
      </c>
      <c r="AP38">
        <f t="shared" si="22"/>
        <v>1</v>
      </c>
      <c r="AQ38">
        <f t="shared" si="23"/>
        <v>3</v>
      </c>
      <c r="AS38">
        <v>4131</v>
      </c>
      <c r="AT38" t="s">
        <v>209</v>
      </c>
    </row>
    <row r="39" spans="1:46" ht="21" customHeight="1" thickBot="1">
      <c r="A39" s="58" t="s">
        <v>147</v>
      </c>
      <c r="B39" s="49" t="s">
        <v>155</v>
      </c>
      <c r="C39" s="59" t="s">
        <v>156</v>
      </c>
      <c r="D39" s="60">
        <v>3154985276</v>
      </c>
      <c r="E39" s="60">
        <v>6</v>
      </c>
      <c r="F39" s="57">
        <v>45717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 t="s">
        <v>38</v>
      </c>
      <c r="T39" s="6"/>
      <c r="U39" s="6"/>
      <c r="V39" s="6"/>
      <c r="W39" s="6"/>
      <c r="X39" s="6"/>
      <c r="Y39" s="7" t="s">
        <v>38</v>
      </c>
      <c r="Z39" s="6"/>
      <c r="AA39" s="6"/>
      <c r="AB39" s="6"/>
      <c r="AC39" s="6"/>
      <c r="AD39" s="7" t="s">
        <v>39</v>
      </c>
      <c r="AE39" s="6"/>
      <c r="AF39" s="7" t="s">
        <v>38</v>
      </c>
      <c r="AG39" s="6"/>
      <c r="AH39" s="6"/>
      <c r="AI39" s="6"/>
      <c r="AJ39" s="6"/>
      <c r="AL39">
        <f t="shared" si="18"/>
        <v>0</v>
      </c>
      <c r="AM39">
        <f t="shared" si="19"/>
        <v>2</v>
      </c>
      <c r="AN39">
        <f t="shared" si="20"/>
        <v>3</v>
      </c>
      <c r="AO39">
        <f t="shared" si="21"/>
        <v>1</v>
      </c>
      <c r="AP39">
        <f t="shared" si="22"/>
        <v>0</v>
      </c>
      <c r="AQ39">
        <f t="shared" si="23"/>
        <v>2</v>
      </c>
      <c r="AS39">
        <v>4131</v>
      </c>
      <c r="AT39" t="s">
        <v>209</v>
      </c>
    </row>
    <row r="40" spans="1:46" ht="21" customHeight="1" thickBot="1">
      <c r="A40" s="58" t="s">
        <v>147</v>
      </c>
      <c r="B40" s="49" t="s">
        <v>157</v>
      </c>
      <c r="C40" s="59" t="s">
        <v>158</v>
      </c>
      <c r="D40" s="60">
        <v>3186859661</v>
      </c>
      <c r="E40" s="60">
        <v>8</v>
      </c>
      <c r="F40" s="57">
        <v>45383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 t="s">
        <v>38</v>
      </c>
      <c r="U40" s="6"/>
      <c r="V40" s="7" t="s">
        <v>38</v>
      </c>
      <c r="W40" s="6"/>
      <c r="X40" s="7" t="s">
        <v>38</v>
      </c>
      <c r="Y40" s="6"/>
      <c r="Z40" s="7" t="s">
        <v>38</v>
      </c>
      <c r="AA40" s="7" t="s">
        <v>38</v>
      </c>
      <c r="AB40" s="7" t="s">
        <v>38</v>
      </c>
      <c r="AC40" s="6"/>
      <c r="AD40" s="7" t="s">
        <v>65</v>
      </c>
      <c r="AE40" s="6"/>
      <c r="AF40" s="6"/>
      <c r="AG40" s="6"/>
      <c r="AH40" s="7" t="s">
        <v>38</v>
      </c>
      <c r="AI40" s="6"/>
      <c r="AJ40" s="6"/>
      <c r="AL40">
        <f t="shared" si="18"/>
        <v>0</v>
      </c>
      <c r="AM40">
        <f t="shared" si="19"/>
        <v>3</v>
      </c>
      <c r="AN40">
        <f t="shared" si="20"/>
        <v>4</v>
      </c>
      <c r="AO40">
        <f t="shared" si="21"/>
        <v>5</v>
      </c>
      <c r="AP40">
        <f t="shared" si="22"/>
        <v>1</v>
      </c>
      <c r="AQ40">
        <f t="shared" si="23"/>
        <v>4</v>
      </c>
      <c r="AS40">
        <v>4131</v>
      </c>
      <c r="AT40" t="s">
        <v>209</v>
      </c>
    </row>
    <row r="41" spans="1:46" ht="21" customHeight="1" thickBot="1">
      <c r="A41" s="58" t="s">
        <v>147</v>
      </c>
      <c r="B41" s="49" t="s">
        <v>159</v>
      </c>
      <c r="C41" s="59" t="s">
        <v>160</v>
      </c>
      <c r="D41" s="60">
        <v>3044059252</v>
      </c>
      <c r="E41" s="60">
        <v>5</v>
      </c>
      <c r="F41" s="57">
        <v>44866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 t="s">
        <v>38</v>
      </c>
      <c r="U41" s="6"/>
      <c r="V41" s="6"/>
      <c r="W41" s="6"/>
      <c r="X41" s="6"/>
      <c r="Y41" s="7" t="s">
        <v>38</v>
      </c>
      <c r="Z41" s="7" t="s">
        <v>38</v>
      </c>
      <c r="AA41" s="7" t="s">
        <v>38</v>
      </c>
      <c r="AB41" s="6"/>
      <c r="AC41" s="6"/>
      <c r="AD41" s="7" t="s">
        <v>39</v>
      </c>
      <c r="AE41" s="6"/>
      <c r="AF41" s="6"/>
      <c r="AG41" s="6"/>
      <c r="AH41" s="7" t="s">
        <v>38</v>
      </c>
      <c r="AI41" s="6"/>
      <c r="AJ41" s="6"/>
      <c r="AL41">
        <f t="shared" si="18"/>
        <v>0</v>
      </c>
      <c r="AM41">
        <f t="shared" si="19"/>
        <v>3</v>
      </c>
      <c r="AN41">
        <f t="shared" si="20"/>
        <v>4</v>
      </c>
      <c r="AO41">
        <f t="shared" si="21"/>
        <v>3</v>
      </c>
      <c r="AP41">
        <f t="shared" si="22"/>
        <v>0</v>
      </c>
      <c r="AQ41">
        <f t="shared" si="23"/>
        <v>4</v>
      </c>
      <c r="AS41">
        <v>4131</v>
      </c>
      <c r="AT41" t="s">
        <v>209</v>
      </c>
    </row>
    <row r="42" spans="1:46" ht="21" customHeight="1" thickBot="1">
      <c r="A42" s="58" t="s">
        <v>147</v>
      </c>
      <c r="B42" s="49" t="s">
        <v>161</v>
      </c>
      <c r="C42" s="59" t="s">
        <v>162</v>
      </c>
      <c r="D42" s="60">
        <v>3022213939</v>
      </c>
      <c r="E42" s="60">
        <v>6</v>
      </c>
      <c r="F42" s="57">
        <v>45717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 t="s">
        <v>38</v>
      </c>
      <c r="U42" s="6"/>
      <c r="V42" s="6"/>
      <c r="W42" s="6"/>
      <c r="X42" s="6"/>
      <c r="Y42" s="7" t="s">
        <v>38</v>
      </c>
      <c r="Z42" s="7" t="s">
        <v>38</v>
      </c>
      <c r="AA42" s="7" t="s">
        <v>38</v>
      </c>
      <c r="AB42" s="6"/>
      <c r="AC42" s="6"/>
      <c r="AD42" s="7" t="s">
        <v>39</v>
      </c>
      <c r="AE42" s="6"/>
      <c r="AF42" s="6"/>
      <c r="AG42" s="7" t="s">
        <v>38</v>
      </c>
      <c r="AH42" s="6"/>
      <c r="AI42" s="6"/>
      <c r="AJ42" s="6"/>
      <c r="AL42">
        <f t="shared" si="18"/>
        <v>0</v>
      </c>
      <c r="AM42">
        <f t="shared" si="19"/>
        <v>3</v>
      </c>
      <c r="AN42">
        <f t="shared" si="20"/>
        <v>4</v>
      </c>
      <c r="AO42">
        <f t="shared" si="21"/>
        <v>3</v>
      </c>
      <c r="AP42">
        <f t="shared" si="22"/>
        <v>0</v>
      </c>
      <c r="AQ42">
        <f t="shared" si="23"/>
        <v>3</v>
      </c>
      <c r="AS42">
        <v>4131</v>
      </c>
      <c r="AT42" t="s">
        <v>209</v>
      </c>
    </row>
    <row r="43" spans="1:46" ht="21" customHeight="1" thickBot="1">
      <c r="A43" s="58" t="s">
        <v>147</v>
      </c>
      <c r="B43" s="49" t="s">
        <v>163</v>
      </c>
      <c r="C43" s="59" t="s">
        <v>164</v>
      </c>
      <c r="D43" s="60">
        <v>3168298455</v>
      </c>
      <c r="E43" s="60">
        <v>18</v>
      </c>
      <c r="F43" s="57">
        <v>44136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 t="s">
        <v>38</v>
      </c>
      <c r="T43" s="6"/>
      <c r="U43" s="6"/>
      <c r="V43" s="6"/>
      <c r="W43" s="6"/>
      <c r="X43" s="6"/>
      <c r="Y43" s="7" t="s">
        <v>38</v>
      </c>
      <c r="Z43" s="6"/>
      <c r="AA43" s="6"/>
      <c r="AB43" s="6"/>
      <c r="AC43" s="6"/>
      <c r="AD43" s="7" t="s">
        <v>39</v>
      </c>
      <c r="AE43" s="6"/>
      <c r="AF43" s="7" t="s">
        <v>38</v>
      </c>
      <c r="AG43" s="6"/>
      <c r="AH43" s="6"/>
      <c r="AI43" s="6"/>
      <c r="AJ43" s="6"/>
      <c r="AL43">
        <f t="shared" si="18"/>
        <v>0</v>
      </c>
      <c r="AM43">
        <f t="shared" si="19"/>
        <v>2</v>
      </c>
      <c r="AN43">
        <f t="shared" si="20"/>
        <v>3</v>
      </c>
      <c r="AO43">
        <f t="shared" si="21"/>
        <v>1</v>
      </c>
      <c r="AP43">
        <f t="shared" si="22"/>
        <v>0</v>
      </c>
      <c r="AQ43">
        <f t="shared" si="23"/>
        <v>2</v>
      </c>
      <c r="AS43">
        <v>4131</v>
      </c>
      <c r="AT43" t="s">
        <v>209</v>
      </c>
    </row>
    <row r="44" spans="1:46" ht="21" customHeight="1" thickBot="1">
      <c r="A44" s="58" t="s">
        <v>147</v>
      </c>
      <c r="B44" s="49" t="s">
        <v>165</v>
      </c>
      <c r="C44" s="59" t="s">
        <v>166</v>
      </c>
      <c r="D44" s="60">
        <v>3206961120</v>
      </c>
      <c r="E44" s="60">
        <v>2</v>
      </c>
      <c r="F44" s="57">
        <v>45870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 t="s">
        <v>38</v>
      </c>
      <c r="U44" s="6"/>
      <c r="V44" s="6"/>
      <c r="W44" s="6"/>
      <c r="X44" s="6"/>
      <c r="Y44" s="7" t="s">
        <v>38</v>
      </c>
      <c r="Z44" s="7" t="s">
        <v>38</v>
      </c>
      <c r="AA44" s="7" t="s">
        <v>38</v>
      </c>
      <c r="AB44" s="6"/>
      <c r="AC44" s="6"/>
      <c r="AD44" s="7" t="s">
        <v>39</v>
      </c>
      <c r="AE44" s="6"/>
      <c r="AF44" s="6"/>
      <c r="AG44" s="7" t="s">
        <v>38</v>
      </c>
      <c r="AH44" s="6"/>
      <c r="AI44" s="6"/>
      <c r="AJ44" s="6"/>
      <c r="AL44">
        <f t="shared" si="18"/>
        <v>0</v>
      </c>
      <c r="AM44">
        <f t="shared" si="19"/>
        <v>3</v>
      </c>
      <c r="AN44">
        <f t="shared" si="20"/>
        <v>4</v>
      </c>
      <c r="AO44">
        <f t="shared" si="21"/>
        <v>3</v>
      </c>
      <c r="AP44">
        <f t="shared" si="22"/>
        <v>0</v>
      </c>
      <c r="AQ44">
        <f t="shared" si="23"/>
        <v>3</v>
      </c>
      <c r="AS44">
        <v>4131</v>
      </c>
      <c r="AT44" t="s">
        <v>209</v>
      </c>
    </row>
    <row r="45" spans="1:46" ht="21" customHeight="1" thickBot="1">
      <c r="A45" s="33" t="s">
        <v>147</v>
      </c>
      <c r="B45" s="4" t="s">
        <v>167</v>
      </c>
      <c r="C45" s="56" t="s">
        <v>168</v>
      </c>
      <c r="D45" s="7">
        <v>3175329207</v>
      </c>
      <c r="E45" s="7">
        <v>13</v>
      </c>
      <c r="F45" s="57">
        <v>45717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 t="s">
        <v>38</v>
      </c>
      <c r="T45" s="6"/>
      <c r="U45" s="6"/>
      <c r="V45" s="6"/>
      <c r="W45" s="6"/>
      <c r="X45" s="6"/>
      <c r="Y45" s="7" t="s">
        <v>38</v>
      </c>
      <c r="Z45" s="6"/>
      <c r="AA45" s="6"/>
      <c r="AB45" s="6"/>
      <c r="AC45" s="6"/>
      <c r="AD45" s="7" t="s">
        <v>39</v>
      </c>
      <c r="AE45" s="6"/>
      <c r="AF45" s="7" t="s">
        <v>38</v>
      </c>
      <c r="AG45" s="6"/>
      <c r="AH45" s="6"/>
      <c r="AI45" s="6"/>
      <c r="AJ45" s="6"/>
      <c r="AL45">
        <f t="shared" si="18"/>
        <v>0</v>
      </c>
      <c r="AM45">
        <f t="shared" si="19"/>
        <v>2</v>
      </c>
      <c r="AN45">
        <f t="shared" si="20"/>
        <v>3</v>
      </c>
      <c r="AO45">
        <f t="shared" si="21"/>
        <v>1</v>
      </c>
      <c r="AP45">
        <f t="shared" si="22"/>
        <v>0</v>
      </c>
      <c r="AQ45">
        <f t="shared" si="23"/>
        <v>2</v>
      </c>
      <c r="AS45">
        <v>4131</v>
      </c>
      <c r="AT45" t="s">
        <v>209</v>
      </c>
    </row>
    <row r="46" spans="1:46" ht="21" customHeight="1" thickBot="1">
      <c r="A46" s="33" t="s">
        <v>169</v>
      </c>
      <c r="B46" s="4" t="s">
        <v>170</v>
      </c>
      <c r="C46" s="56" t="s">
        <v>171</v>
      </c>
      <c r="D46" s="7">
        <v>3137591028</v>
      </c>
      <c r="E46" s="7">
        <v>19</v>
      </c>
      <c r="F46" s="57">
        <v>44652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6"/>
      <c r="AC46" s="7" t="s">
        <v>38</v>
      </c>
      <c r="AD46" s="7" t="s">
        <v>65</v>
      </c>
      <c r="AE46" s="6"/>
      <c r="AF46" s="6"/>
      <c r="AG46" s="6"/>
      <c r="AH46" s="6"/>
      <c r="AI46" s="7" t="s">
        <v>38</v>
      </c>
      <c r="AJ46" s="6"/>
      <c r="AL46">
        <f t="shared" si="18"/>
        <v>0</v>
      </c>
      <c r="AM46">
        <f t="shared" si="19"/>
        <v>4</v>
      </c>
      <c r="AN46">
        <f t="shared" si="20"/>
        <v>5</v>
      </c>
      <c r="AO46">
        <f t="shared" si="21"/>
        <v>7</v>
      </c>
      <c r="AP46">
        <f t="shared" si="22"/>
        <v>1</v>
      </c>
      <c r="AQ46">
        <f t="shared" si="23"/>
        <v>5</v>
      </c>
      <c r="AS46">
        <v>4131</v>
      </c>
      <c r="AT46" t="s">
        <v>209</v>
      </c>
    </row>
    <row r="47" spans="1:46" ht="21" customHeight="1" thickBot="1">
      <c r="A47" s="33" t="s">
        <v>169</v>
      </c>
      <c r="B47" s="4" t="s">
        <v>172</v>
      </c>
      <c r="C47" s="56" t="s">
        <v>173</v>
      </c>
      <c r="D47" s="7">
        <v>3104968524</v>
      </c>
      <c r="E47" s="7">
        <v>11</v>
      </c>
      <c r="F47" s="57">
        <v>44652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6"/>
      <c r="AD47" s="7" t="s">
        <v>65</v>
      </c>
      <c r="AE47" s="6"/>
      <c r="AF47" s="6"/>
      <c r="AG47" s="6"/>
      <c r="AH47" s="6"/>
      <c r="AI47" s="7" t="s">
        <v>38</v>
      </c>
      <c r="AJ47" s="6"/>
      <c r="AL47">
        <f t="shared" si="18"/>
        <v>0</v>
      </c>
      <c r="AM47">
        <f t="shared" si="19"/>
        <v>4</v>
      </c>
      <c r="AN47">
        <f t="shared" si="20"/>
        <v>5</v>
      </c>
      <c r="AO47">
        <f t="shared" si="21"/>
        <v>7</v>
      </c>
      <c r="AP47">
        <f t="shared" si="22"/>
        <v>1</v>
      </c>
      <c r="AQ47">
        <f t="shared" si="23"/>
        <v>5</v>
      </c>
      <c r="AS47">
        <v>4131</v>
      </c>
      <c r="AT47" t="s">
        <v>209</v>
      </c>
    </row>
    <row r="48" spans="1:46" ht="21" customHeight="1" thickBot="1">
      <c r="A48" s="33" t="s">
        <v>174</v>
      </c>
      <c r="B48" s="4" t="s">
        <v>175</v>
      </c>
      <c r="C48" s="56" t="s">
        <v>176</v>
      </c>
      <c r="D48" s="7">
        <v>3113578463</v>
      </c>
      <c r="E48" s="7">
        <v>10</v>
      </c>
      <c r="F48" s="57">
        <v>41640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6"/>
      <c r="AC48" s="6"/>
      <c r="AD48" s="7" t="s">
        <v>65</v>
      </c>
      <c r="AE48" s="6"/>
      <c r="AF48" s="6"/>
      <c r="AG48" s="6"/>
      <c r="AH48" s="7" t="s">
        <v>38</v>
      </c>
      <c r="AI48" s="6"/>
      <c r="AJ48" s="6"/>
      <c r="AL48">
        <f t="shared" si="18"/>
        <v>0</v>
      </c>
      <c r="AM48">
        <f t="shared" si="19"/>
        <v>4</v>
      </c>
      <c r="AN48">
        <f t="shared" si="20"/>
        <v>5</v>
      </c>
      <c r="AO48">
        <f t="shared" si="21"/>
        <v>6</v>
      </c>
      <c r="AP48">
        <f t="shared" si="22"/>
        <v>1</v>
      </c>
      <c r="AQ48">
        <f t="shared" si="23"/>
        <v>4</v>
      </c>
      <c r="AS48">
        <v>4131</v>
      </c>
      <c r="AT48" t="s">
        <v>209</v>
      </c>
    </row>
    <row r="49" spans="1:46" ht="21" customHeight="1" thickBot="1">
      <c r="A49" s="58" t="s">
        <v>174</v>
      </c>
      <c r="B49" s="49" t="s">
        <v>177</v>
      </c>
      <c r="C49" s="59" t="s">
        <v>178</v>
      </c>
      <c r="D49" s="60">
        <v>3152008777</v>
      </c>
      <c r="E49" s="60">
        <v>8</v>
      </c>
      <c r="F49" s="61">
        <v>45292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 t="s">
        <v>38</v>
      </c>
      <c r="U49" s="6"/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6"/>
      <c r="AC49" s="6"/>
      <c r="AD49" s="60" t="s">
        <v>39</v>
      </c>
      <c r="AE49" s="6"/>
      <c r="AF49" s="6"/>
      <c r="AG49" s="7" t="s">
        <v>38</v>
      </c>
      <c r="AH49" s="6"/>
      <c r="AI49" s="6"/>
      <c r="AJ49" s="6"/>
      <c r="AL49">
        <f t="shared" si="18"/>
        <v>0</v>
      </c>
      <c r="AM49">
        <f t="shared" si="19"/>
        <v>3</v>
      </c>
      <c r="AN49">
        <f t="shared" si="20"/>
        <v>4</v>
      </c>
      <c r="AO49">
        <f t="shared" si="21"/>
        <v>6</v>
      </c>
      <c r="AP49">
        <f t="shared" si="22"/>
        <v>0</v>
      </c>
      <c r="AQ49">
        <f t="shared" si="23"/>
        <v>3</v>
      </c>
      <c r="AS49">
        <v>4131</v>
      </c>
      <c r="AT49" t="s">
        <v>209</v>
      </c>
    </row>
    <row r="50" spans="1:46" ht="21" customHeight="1" thickBot="1">
      <c r="A50" s="58" t="s">
        <v>179</v>
      </c>
      <c r="B50" s="49" t="s">
        <v>180</v>
      </c>
      <c r="C50" s="59" t="s">
        <v>181</v>
      </c>
      <c r="D50" s="60">
        <v>3016749709</v>
      </c>
      <c r="E50" s="60">
        <v>20</v>
      </c>
      <c r="F50" s="61">
        <v>41640</v>
      </c>
      <c r="G50" s="62"/>
      <c r="H50" s="62"/>
      <c r="I50" s="62"/>
      <c r="J50" s="62"/>
      <c r="K50" s="62"/>
      <c r="L50" s="62"/>
      <c r="M50" s="60" t="s">
        <v>38</v>
      </c>
      <c r="N50" s="62"/>
      <c r="O50" s="62"/>
      <c r="P50" s="62"/>
      <c r="Q50" s="62"/>
      <c r="R50" s="62"/>
      <c r="S50" s="62"/>
      <c r="T50" s="62"/>
      <c r="U50" s="62"/>
      <c r="V50" s="60" t="s">
        <v>38</v>
      </c>
      <c r="W50" s="60" t="s">
        <v>38</v>
      </c>
      <c r="X50" s="60" t="s">
        <v>38</v>
      </c>
      <c r="Y50" s="60" t="s">
        <v>38</v>
      </c>
      <c r="Z50" s="60" t="s">
        <v>38</v>
      </c>
      <c r="AA50" s="60" t="s">
        <v>38</v>
      </c>
      <c r="AB50" s="60" t="s">
        <v>38</v>
      </c>
      <c r="AC50" s="60" t="s">
        <v>38</v>
      </c>
      <c r="AD50" s="60" t="s">
        <v>65</v>
      </c>
      <c r="AE50" s="62"/>
      <c r="AF50" s="62"/>
      <c r="AG50" s="62"/>
      <c r="AH50" s="62"/>
      <c r="AI50" s="60" t="s">
        <v>38</v>
      </c>
      <c r="AJ50" s="62"/>
      <c r="AL50">
        <f t="shared" si="18"/>
        <v>4</v>
      </c>
      <c r="AM50">
        <f t="shared" si="19"/>
        <v>0</v>
      </c>
      <c r="AN50">
        <f t="shared" si="20"/>
        <v>1</v>
      </c>
      <c r="AO50">
        <f t="shared" si="21"/>
        <v>8</v>
      </c>
      <c r="AP50">
        <f t="shared" si="22"/>
        <v>1</v>
      </c>
      <c r="AQ50">
        <f t="shared" si="23"/>
        <v>5</v>
      </c>
      <c r="AS50">
        <v>4131</v>
      </c>
      <c r="AT50" t="s">
        <v>209</v>
      </c>
    </row>
    <row r="51" spans="1:46" ht="21" customHeight="1" thickBot="1">
      <c r="A51" s="33" t="s">
        <v>179</v>
      </c>
      <c r="B51" s="4" t="s">
        <v>182</v>
      </c>
      <c r="C51" s="56" t="s">
        <v>183</v>
      </c>
      <c r="D51" s="7">
        <v>3128690112</v>
      </c>
      <c r="E51" s="7">
        <v>5</v>
      </c>
      <c r="F51" s="57">
        <v>43891</v>
      </c>
      <c r="G51" s="6"/>
      <c r="H51" s="6"/>
      <c r="I51" s="6"/>
      <c r="J51" s="6"/>
      <c r="K51" s="6"/>
      <c r="L51" s="6"/>
      <c r="M51" s="7" t="s">
        <v>38</v>
      </c>
      <c r="N51" s="6"/>
      <c r="O51" s="6"/>
      <c r="P51" s="6"/>
      <c r="Q51" s="6"/>
      <c r="R51" s="6"/>
      <c r="S51" s="6"/>
      <c r="T51" s="6"/>
      <c r="U51" s="6"/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6"/>
      <c r="AC51" s="6"/>
      <c r="AD51" s="7" t="s">
        <v>65</v>
      </c>
      <c r="AE51" s="6"/>
      <c r="AF51" s="6"/>
      <c r="AG51" s="6"/>
      <c r="AH51" s="6"/>
      <c r="AI51" s="7" t="s">
        <v>38</v>
      </c>
      <c r="AJ51" s="6"/>
      <c r="AL51">
        <f t="shared" si="18"/>
        <v>4</v>
      </c>
      <c r="AM51">
        <f t="shared" si="19"/>
        <v>0</v>
      </c>
      <c r="AN51">
        <f t="shared" si="20"/>
        <v>1</v>
      </c>
      <c r="AO51">
        <f t="shared" si="21"/>
        <v>6</v>
      </c>
      <c r="AP51">
        <f t="shared" si="22"/>
        <v>1</v>
      </c>
      <c r="AQ51">
        <f t="shared" si="23"/>
        <v>5</v>
      </c>
      <c r="AS51">
        <v>4131</v>
      </c>
      <c r="AT51" t="s">
        <v>209</v>
      </c>
    </row>
    <row r="52" spans="1:46" ht="21" customHeight="1" thickBot="1">
      <c r="A52" s="58" t="s">
        <v>184</v>
      </c>
      <c r="B52" s="49" t="s">
        <v>185</v>
      </c>
      <c r="C52" s="63" t="s">
        <v>186</v>
      </c>
      <c r="D52" s="60">
        <v>3148896593</v>
      </c>
      <c r="E52" s="7">
        <v>15</v>
      </c>
      <c r="F52" s="57">
        <v>45717</v>
      </c>
      <c r="G52" s="6"/>
      <c r="H52" s="6"/>
      <c r="I52" s="6"/>
      <c r="J52" s="6"/>
      <c r="K52" s="6"/>
      <c r="L52" s="6"/>
      <c r="M52" s="7" t="s">
        <v>38</v>
      </c>
      <c r="N52" s="6"/>
      <c r="O52" s="6"/>
      <c r="P52" s="6"/>
      <c r="Q52" s="6"/>
      <c r="R52" s="6"/>
      <c r="S52" s="6"/>
      <c r="T52" s="6"/>
      <c r="U52" s="6"/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65</v>
      </c>
      <c r="AE52" s="6"/>
      <c r="AF52" s="6"/>
      <c r="AG52" s="7" t="s">
        <v>38</v>
      </c>
      <c r="AH52" s="6"/>
      <c r="AI52" s="6"/>
      <c r="AJ52" s="6"/>
      <c r="AL52">
        <f t="shared" si="18"/>
        <v>4</v>
      </c>
      <c r="AM52">
        <f t="shared" si="19"/>
        <v>0</v>
      </c>
      <c r="AN52">
        <f t="shared" si="20"/>
        <v>1</v>
      </c>
      <c r="AO52">
        <f t="shared" si="21"/>
        <v>8</v>
      </c>
      <c r="AP52">
        <f t="shared" si="22"/>
        <v>1</v>
      </c>
      <c r="AQ52">
        <f t="shared" si="23"/>
        <v>3</v>
      </c>
      <c r="AS52">
        <v>4131</v>
      </c>
      <c r="AT52" t="s">
        <v>209</v>
      </c>
    </row>
    <row r="53" spans="1:46" ht="21" customHeight="1" thickBot="1">
      <c r="A53" s="58" t="s">
        <v>184</v>
      </c>
      <c r="B53" s="49" t="s">
        <v>187</v>
      </c>
      <c r="C53" s="63" t="s">
        <v>188</v>
      </c>
      <c r="D53" s="60">
        <v>3168206952</v>
      </c>
      <c r="E53" s="60">
        <v>19</v>
      </c>
      <c r="F53" s="61">
        <v>40238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65</v>
      </c>
      <c r="AE53" s="6"/>
      <c r="AF53" s="6"/>
      <c r="AG53" s="6"/>
      <c r="AH53" s="7" t="s">
        <v>38</v>
      </c>
      <c r="AI53" s="6"/>
      <c r="AJ53" s="6"/>
      <c r="AL53">
        <f t="shared" si="18"/>
        <v>0</v>
      </c>
      <c r="AM53">
        <f t="shared" si="19"/>
        <v>4</v>
      </c>
      <c r="AN53">
        <f t="shared" si="20"/>
        <v>5</v>
      </c>
      <c r="AO53">
        <f t="shared" si="21"/>
        <v>8</v>
      </c>
      <c r="AP53">
        <f t="shared" si="22"/>
        <v>1</v>
      </c>
      <c r="AQ53">
        <f t="shared" si="23"/>
        <v>4</v>
      </c>
      <c r="AS53">
        <v>4131</v>
      </c>
      <c r="AT53" t="s">
        <v>209</v>
      </c>
    </row>
    <row r="54" spans="1:46" ht="21" customHeight="1" thickBot="1">
      <c r="A54" s="58" t="s">
        <v>184</v>
      </c>
      <c r="B54" s="49" t="s">
        <v>189</v>
      </c>
      <c r="C54" s="63" t="s">
        <v>190</v>
      </c>
      <c r="D54" s="60">
        <v>3148918726</v>
      </c>
      <c r="E54" s="60">
        <v>13</v>
      </c>
      <c r="F54" s="61">
        <v>45717</v>
      </c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0" t="s">
        <v>38</v>
      </c>
      <c r="U54" s="62"/>
      <c r="V54" s="62"/>
      <c r="W54" s="62"/>
      <c r="X54" s="62"/>
      <c r="Y54" s="62"/>
      <c r="Z54" s="60" t="s">
        <v>38</v>
      </c>
      <c r="AA54" s="60" t="s">
        <v>38</v>
      </c>
      <c r="AB54" s="60" t="s">
        <v>38</v>
      </c>
      <c r="AC54" s="62"/>
      <c r="AD54" s="60" t="s">
        <v>65</v>
      </c>
      <c r="AE54" s="62"/>
      <c r="AF54" s="62"/>
      <c r="AG54" s="60" t="s">
        <v>38</v>
      </c>
      <c r="AH54" s="62"/>
      <c r="AI54" s="62"/>
      <c r="AJ54" s="62"/>
      <c r="AL54">
        <f t="shared" si="18"/>
        <v>0</v>
      </c>
      <c r="AM54">
        <f t="shared" si="19"/>
        <v>3</v>
      </c>
      <c r="AN54">
        <f t="shared" si="20"/>
        <v>4</v>
      </c>
      <c r="AO54">
        <f t="shared" si="21"/>
        <v>3</v>
      </c>
      <c r="AP54">
        <f t="shared" si="22"/>
        <v>1</v>
      </c>
      <c r="AQ54">
        <f t="shared" si="23"/>
        <v>3</v>
      </c>
      <c r="AS54">
        <v>4131</v>
      </c>
      <c r="AT54" t="s">
        <v>209</v>
      </c>
    </row>
    <row r="55" spans="1:46" ht="21" customHeight="1" thickBot="1">
      <c r="A55" s="58" t="s">
        <v>184</v>
      </c>
      <c r="B55" s="49" t="s">
        <v>191</v>
      </c>
      <c r="C55" s="63" t="s">
        <v>192</v>
      </c>
      <c r="D55" s="60">
        <v>3172637037</v>
      </c>
      <c r="E55" s="7">
        <v>21</v>
      </c>
      <c r="F55" s="57">
        <v>42064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65</v>
      </c>
      <c r="AE55" s="6"/>
      <c r="AF55" s="6"/>
      <c r="AG55" s="7" t="s">
        <v>38</v>
      </c>
      <c r="AH55" s="6"/>
      <c r="AI55" s="6"/>
      <c r="AJ55" s="6"/>
      <c r="AL55">
        <f t="shared" si="18"/>
        <v>0</v>
      </c>
      <c r="AM55">
        <f t="shared" si="19"/>
        <v>4</v>
      </c>
      <c r="AN55">
        <f t="shared" si="20"/>
        <v>5</v>
      </c>
      <c r="AO55">
        <f t="shared" si="21"/>
        <v>8</v>
      </c>
      <c r="AP55">
        <f t="shared" si="22"/>
        <v>1</v>
      </c>
      <c r="AQ55">
        <f t="shared" si="23"/>
        <v>3</v>
      </c>
      <c r="AS55">
        <v>4131</v>
      </c>
      <c r="AT55" t="s">
        <v>209</v>
      </c>
    </row>
    <row r="56" spans="1:46" ht="21" customHeight="1" thickBot="1">
      <c r="A56" s="58" t="s">
        <v>193</v>
      </c>
      <c r="B56" s="49" t="s">
        <v>194</v>
      </c>
      <c r="C56" s="63" t="s">
        <v>195</v>
      </c>
      <c r="D56" s="60">
        <v>3218347187</v>
      </c>
      <c r="E56" s="60">
        <v>12</v>
      </c>
      <c r="F56" s="61">
        <v>45444</v>
      </c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0" t="s">
        <v>38</v>
      </c>
      <c r="U56" s="62"/>
      <c r="V56" s="60" t="s">
        <v>38</v>
      </c>
      <c r="W56" s="60" t="s">
        <v>38</v>
      </c>
      <c r="X56" s="60" t="s">
        <v>38</v>
      </c>
      <c r="Y56" s="60" t="s">
        <v>38</v>
      </c>
      <c r="Z56" s="60" t="s">
        <v>38</v>
      </c>
      <c r="AA56" s="60" t="s">
        <v>38</v>
      </c>
      <c r="AB56" s="60" t="s">
        <v>38</v>
      </c>
      <c r="AC56" s="60" t="s">
        <v>38</v>
      </c>
      <c r="AD56" s="60" t="s">
        <v>65</v>
      </c>
      <c r="AE56" s="62"/>
      <c r="AF56" s="62"/>
      <c r="AG56" s="60" t="s">
        <v>38</v>
      </c>
      <c r="AH56" s="62"/>
      <c r="AI56" s="62"/>
      <c r="AJ56" s="62"/>
      <c r="AL56">
        <f t="shared" si="18"/>
        <v>0</v>
      </c>
      <c r="AM56">
        <f t="shared" si="19"/>
        <v>3</v>
      </c>
      <c r="AN56">
        <f t="shared" si="20"/>
        <v>4</v>
      </c>
      <c r="AO56">
        <f t="shared" si="21"/>
        <v>8</v>
      </c>
      <c r="AP56">
        <f t="shared" si="22"/>
        <v>1</v>
      </c>
      <c r="AQ56">
        <f t="shared" si="23"/>
        <v>3</v>
      </c>
      <c r="AS56">
        <v>4131</v>
      </c>
      <c r="AT56" t="s">
        <v>209</v>
      </c>
    </row>
    <row r="57" spans="1:46" ht="21" customHeight="1" thickBot="1">
      <c r="A57" s="33" t="s">
        <v>193</v>
      </c>
      <c r="B57" s="4" t="s">
        <v>196</v>
      </c>
      <c r="C57" s="56" t="s">
        <v>197</v>
      </c>
      <c r="D57" s="7" t="s">
        <v>198</v>
      </c>
      <c r="E57" s="7">
        <v>3</v>
      </c>
      <c r="F57" s="57">
        <v>44774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 t="s">
        <v>38</v>
      </c>
      <c r="V57" s="7" t="s">
        <v>38</v>
      </c>
      <c r="W57" s="7" t="s">
        <v>38</v>
      </c>
      <c r="X57" s="6"/>
      <c r="Y57" s="6"/>
      <c r="Z57" s="6"/>
      <c r="AA57" s="6"/>
      <c r="AB57" s="6"/>
      <c r="AC57" s="7" t="s">
        <v>38</v>
      </c>
      <c r="AD57" s="7" t="s">
        <v>39</v>
      </c>
      <c r="AE57" s="6"/>
      <c r="AF57" s="6"/>
      <c r="AG57" s="6"/>
      <c r="AH57" s="6"/>
      <c r="AI57" s="7" t="s">
        <v>38</v>
      </c>
      <c r="AJ57" s="6"/>
      <c r="AL57">
        <f t="shared" si="18"/>
        <v>0</v>
      </c>
      <c r="AM57">
        <f t="shared" si="19"/>
        <v>4</v>
      </c>
      <c r="AN57">
        <f t="shared" si="20"/>
        <v>5</v>
      </c>
      <c r="AO57">
        <f t="shared" si="21"/>
        <v>3</v>
      </c>
      <c r="AP57">
        <f t="shared" si="22"/>
        <v>0</v>
      </c>
      <c r="AQ57">
        <f t="shared" si="23"/>
        <v>5</v>
      </c>
      <c r="AS57">
        <v>4131</v>
      </c>
      <c r="AT57" t="s">
        <v>209</v>
      </c>
    </row>
    <row r="58" spans="1:46" ht="21" customHeight="1" thickBot="1">
      <c r="A58" s="33" t="s">
        <v>193</v>
      </c>
      <c r="B58" s="4" t="s">
        <v>199</v>
      </c>
      <c r="C58" s="56" t="s">
        <v>200</v>
      </c>
      <c r="D58" s="7" t="s">
        <v>201</v>
      </c>
      <c r="E58" s="7">
        <v>15</v>
      </c>
      <c r="F58" s="57">
        <v>44197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 t="s">
        <v>38</v>
      </c>
      <c r="V58" s="7" t="s">
        <v>38</v>
      </c>
      <c r="W58" s="7" t="s">
        <v>38</v>
      </c>
      <c r="X58" s="6"/>
      <c r="Y58" s="6"/>
      <c r="Z58" s="6"/>
      <c r="AA58" s="7" t="s">
        <v>38</v>
      </c>
      <c r="AB58" s="7" t="s">
        <v>38</v>
      </c>
      <c r="AC58" s="7" t="s">
        <v>38</v>
      </c>
      <c r="AD58" s="7" t="s">
        <v>65</v>
      </c>
      <c r="AE58" s="6"/>
      <c r="AF58" s="6"/>
      <c r="AG58" s="6"/>
      <c r="AH58" s="7" t="s">
        <v>38</v>
      </c>
      <c r="AI58" s="6"/>
      <c r="AJ58" s="6"/>
      <c r="AL58">
        <f t="shared" si="18"/>
        <v>0</v>
      </c>
      <c r="AM58">
        <f t="shared" si="19"/>
        <v>4</v>
      </c>
      <c r="AN58">
        <f t="shared" si="20"/>
        <v>5</v>
      </c>
      <c r="AO58">
        <f t="shared" si="21"/>
        <v>5</v>
      </c>
      <c r="AP58">
        <f t="shared" si="22"/>
        <v>1</v>
      </c>
      <c r="AQ58">
        <f t="shared" si="23"/>
        <v>4</v>
      </c>
      <c r="AS58">
        <v>4131</v>
      </c>
      <c r="AT58" t="s">
        <v>209</v>
      </c>
    </row>
    <row r="59" spans="1:46" ht="21" customHeight="1" thickBot="1">
      <c r="A59" s="33" t="s">
        <v>202</v>
      </c>
      <c r="B59" s="4" t="s">
        <v>203</v>
      </c>
      <c r="C59" s="64" t="s">
        <v>204</v>
      </c>
      <c r="D59" s="7">
        <v>3188517504</v>
      </c>
      <c r="E59" s="7">
        <v>3</v>
      </c>
      <c r="F59" s="57">
        <v>45078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 t="s">
        <v>38</v>
      </c>
      <c r="U59" s="6"/>
      <c r="V59" s="6"/>
      <c r="W59" s="6"/>
      <c r="X59" s="6"/>
      <c r="Y59" s="6"/>
      <c r="Z59" s="6"/>
      <c r="AA59" s="6"/>
      <c r="AB59" s="6"/>
      <c r="AC59" s="6"/>
      <c r="AD59" s="7" t="s">
        <v>39</v>
      </c>
      <c r="AE59" s="6"/>
      <c r="AF59" s="6"/>
      <c r="AG59" s="6"/>
      <c r="AH59" s="7" t="s">
        <v>38</v>
      </c>
      <c r="AI59" s="6"/>
      <c r="AJ59" s="6"/>
      <c r="AL59">
        <f t="shared" si="18"/>
        <v>0</v>
      </c>
      <c r="AM59">
        <f t="shared" si="19"/>
        <v>3</v>
      </c>
      <c r="AN59">
        <f t="shared" si="20"/>
        <v>4</v>
      </c>
      <c r="AO59">
        <f t="shared" si="21"/>
        <v>0</v>
      </c>
      <c r="AP59">
        <f t="shared" si="22"/>
        <v>0</v>
      </c>
      <c r="AQ59">
        <f t="shared" si="23"/>
        <v>4</v>
      </c>
      <c r="AS59">
        <v>4131</v>
      </c>
      <c r="AT59" t="s">
        <v>209</v>
      </c>
    </row>
    <row r="60" spans="1:46" ht="21" customHeight="1" thickBot="1">
      <c r="A60" s="33" t="s">
        <v>202</v>
      </c>
      <c r="B60" s="4" t="s">
        <v>205</v>
      </c>
      <c r="C60" s="56" t="s">
        <v>206</v>
      </c>
      <c r="D60" s="7">
        <v>3122814328</v>
      </c>
      <c r="E60" s="7">
        <v>15</v>
      </c>
      <c r="F60" s="57">
        <v>40210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 t="s">
        <v>38</v>
      </c>
      <c r="U60" s="6"/>
      <c r="V60" s="7" t="s">
        <v>38</v>
      </c>
      <c r="W60" s="7" t="s">
        <v>38</v>
      </c>
      <c r="X60" s="7" t="s">
        <v>38</v>
      </c>
      <c r="Y60" s="7" t="s">
        <v>38</v>
      </c>
      <c r="Z60" s="7" t="s">
        <v>38</v>
      </c>
      <c r="AA60" s="7" t="s">
        <v>38</v>
      </c>
      <c r="AB60" s="7" t="s">
        <v>38</v>
      </c>
      <c r="AC60" s="7" t="s">
        <v>38</v>
      </c>
      <c r="AD60" s="7" t="s">
        <v>39</v>
      </c>
      <c r="AE60" s="6"/>
      <c r="AF60" s="6"/>
      <c r="AG60" s="7" t="s">
        <v>38</v>
      </c>
      <c r="AH60" s="6"/>
      <c r="AI60" s="6"/>
      <c r="AJ60" s="6"/>
      <c r="AL60">
        <f t="shared" si="18"/>
        <v>0</v>
      </c>
      <c r="AM60">
        <f t="shared" si="19"/>
        <v>3</v>
      </c>
      <c r="AN60">
        <f t="shared" si="20"/>
        <v>4</v>
      </c>
      <c r="AO60">
        <f t="shared" si="21"/>
        <v>8</v>
      </c>
      <c r="AP60">
        <f t="shared" si="22"/>
        <v>0</v>
      </c>
      <c r="AQ60">
        <f t="shared" si="23"/>
        <v>3</v>
      </c>
      <c r="AS60">
        <v>4131</v>
      </c>
      <c r="AT60" t="s">
        <v>209</v>
      </c>
    </row>
    <row r="61" spans="1:46" ht="21" customHeight="1" thickBot="1">
      <c r="A61" s="33" t="s">
        <v>76</v>
      </c>
      <c r="B61" s="4" t="s">
        <v>207</v>
      </c>
      <c r="C61" s="56" t="s">
        <v>208</v>
      </c>
      <c r="D61" s="7">
        <v>3165116959</v>
      </c>
      <c r="E61" s="7">
        <v>11</v>
      </c>
      <c r="F61" s="57">
        <v>41791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 t="s">
        <v>38</v>
      </c>
      <c r="U61" s="6"/>
      <c r="V61" s="6"/>
      <c r="W61" s="6"/>
      <c r="X61" s="6"/>
      <c r="Y61" s="6"/>
      <c r="Z61" s="6"/>
      <c r="AA61" s="6"/>
      <c r="AB61" s="7" t="s">
        <v>38</v>
      </c>
      <c r="AC61" s="7" t="s">
        <v>38</v>
      </c>
      <c r="AD61" s="7" t="s">
        <v>39</v>
      </c>
      <c r="AE61" s="6"/>
      <c r="AF61" s="6"/>
      <c r="AG61" s="6"/>
      <c r="AH61" s="7" t="s">
        <v>38</v>
      </c>
      <c r="AI61" s="6"/>
      <c r="AJ61" s="6"/>
      <c r="AL61">
        <f t="shared" si="18"/>
        <v>0</v>
      </c>
      <c r="AM61">
        <f t="shared" si="19"/>
        <v>3</v>
      </c>
      <c r="AN61">
        <f t="shared" si="20"/>
        <v>4</v>
      </c>
      <c r="AO61">
        <f t="shared" si="21"/>
        <v>2</v>
      </c>
      <c r="AP61">
        <f t="shared" si="22"/>
        <v>0</v>
      </c>
      <c r="AQ61">
        <f t="shared" si="23"/>
        <v>4</v>
      </c>
      <c r="AS61">
        <v>4131</v>
      </c>
      <c r="AT61" t="s">
        <v>209</v>
      </c>
    </row>
    <row r="62" spans="1:46" ht="21" customHeight="1" thickBot="1">
      <c r="A62" s="31" t="s">
        <v>210</v>
      </c>
      <c r="B62" s="25" t="s">
        <v>211</v>
      </c>
      <c r="C62" s="54" t="s">
        <v>212</v>
      </c>
      <c r="D62" s="25">
        <v>3178559455</v>
      </c>
      <c r="E62" s="25">
        <v>12</v>
      </c>
      <c r="F62" s="55">
        <v>44927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5" t="s">
        <v>38</v>
      </c>
      <c r="V62" s="25" t="s">
        <v>38</v>
      </c>
      <c r="W62" s="25" t="s">
        <v>38</v>
      </c>
      <c r="X62" s="25" t="s">
        <v>38</v>
      </c>
      <c r="Y62" s="25" t="s">
        <v>38</v>
      </c>
      <c r="Z62" s="25" t="s">
        <v>38</v>
      </c>
      <c r="AA62" s="25" t="s">
        <v>38</v>
      </c>
      <c r="AB62" s="25" t="s">
        <v>38</v>
      </c>
      <c r="AC62" s="25" t="s">
        <v>38</v>
      </c>
      <c r="AD62" s="37" t="s">
        <v>65</v>
      </c>
      <c r="AE62" s="27"/>
      <c r="AF62" s="27"/>
      <c r="AG62" s="27"/>
      <c r="AH62" s="27"/>
      <c r="AI62" s="25" t="s">
        <v>38</v>
      </c>
      <c r="AJ62" s="27"/>
      <c r="AL62">
        <f t="shared" si="18"/>
        <v>0</v>
      </c>
      <c r="AM62">
        <f t="shared" si="19"/>
        <v>4</v>
      </c>
      <c r="AN62">
        <f t="shared" si="20"/>
        <v>5</v>
      </c>
      <c r="AO62">
        <f t="shared" si="21"/>
        <v>8</v>
      </c>
      <c r="AP62">
        <f t="shared" si="22"/>
        <v>1</v>
      </c>
      <c r="AQ62">
        <f t="shared" si="23"/>
        <v>5</v>
      </c>
      <c r="AS62">
        <v>4132</v>
      </c>
      <c r="AT62" t="s">
        <v>363</v>
      </c>
    </row>
    <row r="63" spans="1:46" ht="21" customHeight="1" thickBot="1">
      <c r="A63" s="33" t="s">
        <v>210</v>
      </c>
      <c r="B63" s="7" t="s">
        <v>213</v>
      </c>
      <c r="C63" s="65" t="s">
        <v>214</v>
      </c>
      <c r="D63" s="7">
        <v>3176794944</v>
      </c>
      <c r="E63" s="7">
        <v>15</v>
      </c>
      <c r="F63" s="57">
        <v>44197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 t="s">
        <v>38</v>
      </c>
      <c r="U63" s="6"/>
      <c r="V63" s="7" t="s">
        <v>38</v>
      </c>
      <c r="W63" s="7" t="s">
        <v>38</v>
      </c>
      <c r="X63" s="7" t="s">
        <v>38</v>
      </c>
      <c r="Y63" s="7" t="s">
        <v>38</v>
      </c>
      <c r="Z63" s="7" t="s">
        <v>38</v>
      </c>
      <c r="AA63" s="7" t="s">
        <v>38</v>
      </c>
      <c r="AB63" s="7" t="s">
        <v>38</v>
      </c>
      <c r="AC63" s="7" t="s">
        <v>38</v>
      </c>
      <c r="AD63" s="43" t="s">
        <v>65</v>
      </c>
      <c r="AE63" s="6"/>
      <c r="AF63" s="6"/>
      <c r="AG63" s="6"/>
      <c r="AH63" s="7" t="s">
        <v>38</v>
      </c>
      <c r="AI63" s="6"/>
      <c r="AJ63" s="6"/>
      <c r="AL63">
        <f t="shared" si="18"/>
        <v>0</v>
      </c>
      <c r="AM63">
        <f t="shared" si="19"/>
        <v>3</v>
      </c>
      <c r="AN63">
        <f t="shared" si="20"/>
        <v>4</v>
      </c>
      <c r="AO63">
        <f t="shared" si="21"/>
        <v>8</v>
      </c>
      <c r="AP63">
        <f t="shared" si="22"/>
        <v>1</v>
      </c>
      <c r="AQ63">
        <f t="shared" si="23"/>
        <v>4</v>
      </c>
      <c r="AS63">
        <v>4132</v>
      </c>
      <c r="AT63" t="s">
        <v>363</v>
      </c>
    </row>
    <row r="64" spans="1:46" ht="21" customHeight="1" thickBot="1">
      <c r="A64" s="28" t="s">
        <v>215</v>
      </c>
      <c r="B64" s="4" t="s">
        <v>216</v>
      </c>
      <c r="C64" s="67" t="s">
        <v>217</v>
      </c>
      <c r="D64" s="47">
        <v>3012025022</v>
      </c>
      <c r="E64" s="43">
        <v>35</v>
      </c>
      <c r="F64" s="45">
        <v>41518</v>
      </c>
      <c r="G64" s="44"/>
      <c r="H64" s="47" t="s">
        <v>38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7" t="s">
        <v>38</v>
      </c>
      <c r="W64" s="47" t="s">
        <v>38</v>
      </c>
      <c r="X64" s="47" t="s">
        <v>38</v>
      </c>
      <c r="Y64" s="47" t="s">
        <v>38</v>
      </c>
      <c r="Z64" s="44"/>
      <c r="AA64" s="44"/>
      <c r="AB64" s="44"/>
      <c r="AC64" s="44"/>
      <c r="AD64" s="43" t="s">
        <v>39</v>
      </c>
      <c r="AE64" s="44"/>
      <c r="AF64" s="47" t="s">
        <v>38</v>
      </c>
      <c r="AG64" s="44"/>
      <c r="AH64" s="44"/>
      <c r="AI64" s="44"/>
      <c r="AJ64" s="44"/>
      <c r="AL64">
        <f t="shared" si="18"/>
        <v>2</v>
      </c>
      <c r="AM64">
        <f t="shared" si="19"/>
        <v>0</v>
      </c>
      <c r="AN64">
        <f t="shared" si="20"/>
        <v>1</v>
      </c>
      <c r="AO64">
        <f t="shared" si="21"/>
        <v>4</v>
      </c>
      <c r="AP64">
        <f t="shared" si="22"/>
        <v>0</v>
      </c>
      <c r="AQ64">
        <f t="shared" si="23"/>
        <v>2</v>
      </c>
      <c r="AS64">
        <v>4132</v>
      </c>
      <c r="AT64" t="s">
        <v>363</v>
      </c>
    </row>
    <row r="65" spans="1:46" ht="21" customHeight="1" thickBot="1">
      <c r="A65" s="28" t="s">
        <v>215</v>
      </c>
      <c r="B65" s="4" t="s">
        <v>218</v>
      </c>
      <c r="C65" s="67" t="s">
        <v>219</v>
      </c>
      <c r="D65" s="47">
        <v>3206996630</v>
      </c>
      <c r="E65" s="43">
        <v>23</v>
      </c>
      <c r="F65" s="45">
        <v>44256</v>
      </c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7" t="s">
        <v>38</v>
      </c>
      <c r="V65" s="47" t="s">
        <v>38</v>
      </c>
      <c r="W65" s="47" t="s">
        <v>38</v>
      </c>
      <c r="X65" s="44"/>
      <c r="Y65" s="47" t="s">
        <v>38</v>
      </c>
      <c r="Z65" s="47" t="s">
        <v>38</v>
      </c>
      <c r="AA65" s="47" t="s">
        <v>38</v>
      </c>
      <c r="AB65" s="47" t="s">
        <v>38</v>
      </c>
      <c r="AC65" s="44"/>
      <c r="AD65" s="43" t="s">
        <v>65</v>
      </c>
      <c r="AE65" s="44"/>
      <c r="AF65" s="44"/>
      <c r="AG65" s="44"/>
      <c r="AH65" s="47" t="s">
        <v>38</v>
      </c>
      <c r="AI65" s="44"/>
      <c r="AJ65" s="44"/>
      <c r="AL65">
        <f t="shared" si="18"/>
        <v>0</v>
      </c>
      <c r="AM65">
        <f t="shared" si="19"/>
        <v>4</v>
      </c>
      <c r="AN65">
        <f t="shared" si="20"/>
        <v>5</v>
      </c>
      <c r="AO65">
        <f t="shared" si="21"/>
        <v>6</v>
      </c>
      <c r="AP65">
        <f t="shared" si="22"/>
        <v>1</v>
      </c>
      <c r="AQ65">
        <f t="shared" si="23"/>
        <v>4</v>
      </c>
      <c r="AS65">
        <v>4132</v>
      </c>
      <c r="AT65" t="s">
        <v>363</v>
      </c>
    </row>
    <row r="66" spans="1:46" ht="21" customHeight="1" thickBot="1">
      <c r="A66" s="28" t="s">
        <v>215</v>
      </c>
      <c r="B66" s="4" t="s">
        <v>220</v>
      </c>
      <c r="C66" s="67" t="s">
        <v>221</v>
      </c>
      <c r="D66" s="47">
        <v>3173832435</v>
      </c>
      <c r="E66" s="43">
        <v>8</v>
      </c>
      <c r="F66" s="45">
        <v>45200</v>
      </c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7" t="s">
        <v>38</v>
      </c>
      <c r="V66" s="47" t="s">
        <v>38</v>
      </c>
      <c r="W66" s="44"/>
      <c r="X66" s="47" t="s">
        <v>38</v>
      </c>
      <c r="Y66" s="47" t="s">
        <v>38</v>
      </c>
      <c r="Z66" s="44"/>
      <c r="AA66" s="44"/>
      <c r="AB66" s="44"/>
      <c r="AC66" s="44"/>
      <c r="AD66" s="43" t="s">
        <v>65</v>
      </c>
      <c r="AE66" s="44"/>
      <c r="AF66" s="44"/>
      <c r="AG66" s="44"/>
      <c r="AH66" s="47" t="s">
        <v>38</v>
      </c>
      <c r="AI66" s="44"/>
      <c r="AJ66" s="44"/>
      <c r="AL66">
        <f t="shared" si="18"/>
        <v>0</v>
      </c>
      <c r="AM66">
        <f t="shared" si="19"/>
        <v>4</v>
      </c>
      <c r="AN66">
        <f t="shared" si="20"/>
        <v>5</v>
      </c>
      <c r="AO66">
        <f t="shared" si="21"/>
        <v>3</v>
      </c>
      <c r="AP66">
        <f t="shared" si="22"/>
        <v>1</v>
      </c>
      <c r="AQ66">
        <f t="shared" si="23"/>
        <v>4</v>
      </c>
      <c r="AS66">
        <v>4132</v>
      </c>
      <c r="AT66" t="s">
        <v>363</v>
      </c>
    </row>
    <row r="67" spans="1:46" ht="21" customHeight="1" thickBot="1">
      <c r="A67" s="28" t="s">
        <v>215</v>
      </c>
      <c r="B67" s="4" t="s">
        <v>222</v>
      </c>
      <c r="C67" s="67" t="s">
        <v>223</v>
      </c>
      <c r="D67" s="47">
        <v>3183073235</v>
      </c>
      <c r="E67" s="43" t="s">
        <v>224</v>
      </c>
      <c r="F67" s="45">
        <v>45413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7" t="s">
        <v>38</v>
      </c>
      <c r="U67" s="44"/>
      <c r="V67" s="44"/>
      <c r="W67" s="44"/>
      <c r="X67" s="44"/>
      <c r="Y67" s="44"/>
      <c r="Z67" s="47" t="s">
        <v>38</v>
      </c>
      <c r="AA67" s="47" t="s">
        <v>38</v>
      </c>
      <c r="AB67" s="47" t="s">
        <v>38</v>
      </c>
      <c r="AC67" s="44"/>
      <c r="AD67" s="43" t="s">
        <v>65</v>
      </c>
      <c r="AE67" s="44"/>
      <c r="AF67" s="44"/>
      <c r="AG67" s="47" t="s">
        <v>38</v>
      </c>
      <c r="AH67" s="44"/>
      <c r="AI67" s="44"/>
      <c r="AJ67" s="44"/>
      <c r="AL67">
        <f t="shared" si="18"/>
        <v>0</v>
      </c>
      <c r="AM67">
        <f t="shared" si="19"/>
        <v>3</v>
      </c>
      <c r="AN67">
        <f t="shared" si="20"/>
        <v>4</v>
      </c>
      <c r="AO67">
        <f t="shared" si="21"/>
        <v>3</v>
      </c>
      <c r="AP67">
        <f t="shared" si="22"/>
        <v>1</v>
      </c>
      <c r="AQ67">
        <f t="shared" si="23"/>
        <v>3</v>
      </c>
      <c r="AS67">
        <v>4132</v>
      </c>
      <c r="AT67" t="s">
        <v>363</v>
      </c>
    </row>
    <row r="68" spans="1:46" ht="21" customHeight="1" thickBot="1">
      <c r="A68" s="28" t="s">
        <v>215</v>
      </c>
      <c r="B68" s="4" t="s">
        <v>225</v>
      </c>
      <c r="C68" s="67" t="s">
        <v>226</v>
      </c>
      <c r="D68" s="47">
        <v>3136836559</v>
      </c>
      <c r="E68" s="43">
        <v>21</v>
      </c>
      <c r="F68" s="45">
        <v>45323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7" t="s">
        <v>38</v>
      </c>
      <c r="T68" s="44"/>
      <c r="U68" s="44"/>
      <c r="V68" s="44"/>
      <c r="W68" s="44"/>
      <c r="X68" s="44"/>
      <c r="Y68" s="47" t="s">
        <v>38</v>
      </c>
      <c r="Z68" s="44"/>
      <c r="AA68" s="44"/>
      <c r="AB68" s="47" t="s">
        <v>38</v>
      </c>
      <c r="AC68" s="44"/>
      <c r="AD68" s="43" t="s">
        <v>39</v>
      </c>
      <c r="AE68" s="44"/>
      <c r="AF68" s="47" t="s">
        <v>38</v>
      </c>
      <c r="AG68" s="44"/>
      <c r="AH68" s="44"/>
      <c r="AI68" s="44"/>
      <c r="AJ68" s="44"/>
      <c r="AL68">
        <f t="shared" si="18"/>
        <v>0</v>
      </c>
      <c r="AM68">
        <f t="shared" si="19"/>
        <v>2</v>
      </c>
      <c r="AN68">
        <f t="shared" si="20"/>
        <v>3</v>
      </c>
      <c r="AO68">
        <f t="shared" si="21"/>
        <v>2</v>
      </c>
      <c r="AP68">
        <f t="shared" si="22"/>
        <v>0</v>
      </c>
      <c r="AQ68">
        <f t="shared" si="23"/>
        <v>2</v>
      </c>
      <c r="AS68">
        <v>4132</v>
      </c>
      <c r="AT68" t="s">
        <v>363</v>
      </c>
    </row>
    <row r="69" spans="1:46" ht="21" customHeight="1" thickBot="1">
      <c r="A69" s="28" t="s">
        <v>215</v>
      </c>
      <c r="B69" s="4" t="s">
        <v>227</v>
      </c>
      <c r="C69" s="67" t="s">
        <v>228</v>
      </c>
      <c r="D69" s="47">
        <v>3002916769</v>
      </c>
      <c r="E69" s="43">
        <v>11</v>
      </c>
      <c r="F69" s="45">
        <v>45323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7" t="s">
        <v>38</v>
      </c>
      <c r="T69" s="44"/>
      <c r="U69" s="44"/>
      <c r="V69" s="44"/>
      <c r="W69" s="44"/>
      <c r="X69" s="44"/>
      <c r="Y69" s="47" t="s">
        <v>38</v>
      </c>
      <c r="Z69" s="44"/>
      <c r="AA69" s="44"/>
      <c r="AB69" s="47" t="s">
        <v>38</v>
      </c>
      <c r="AC69" s="44"/>
      <c r="AD69" s="43" t="s">
        <v>39</v>
      </c>
      <c r="AE69" s="44"/>
      <c r="AF69" s="47" t="s">
        <v>38</v>
      </c>
      <c r="AG69" s="44"/>
      <c r="AH69" s="44"/>
      <c r="AI69" s="44"/>
      <c r="AJ69" s="44"/>
      <c r="AL69">
        <f t="shared" si="18"/>
        <v>0</v>
      </c>
      <c r="AM69">
        <f t="shared" si="19"/>
        <v>2</v>
      </c>
      <c r="AN69">
        <f t="shared" si="20"/>
        <v>3</v>
      </c>
      <c r="AO69">
        <f t="shared" si="21"/>
        <v>2</v>
      </c>
      <c r="AP69">
        <f t="shared" si="22"/>
        <v>0</v>
      </c>
      <c r="AQ69">
        <f t="shared" si="23"/>
        <v>2</v>
      </c>
      <c r="AS69">
        <v>4132</v>
      </c>
      <c r="AT69" t="s">
        <v>363</v>
      </c>
    </row>
    <row r="70" spans="1:46" ht="21" customHeight="1" thickBot="1">
      <c r="A70" s="28" t="s">
        <v>215</v>
      </c>
      <c r="B70" s="4" t="s">
        <v>229</v>
      </c>
      <c r="C70" s="67" t="s">
        <v>230</v>
      </c>
      <c r="D70" s="47">
        <v>3152404416</v>
      </c>
      <c r="E70" s="43" t="s">
        <v>231</v>
      </c>
      <c r="F70" s="45">
        <v>45413</v>
      </c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7" t="s">
        <v>38</v>
      </c>
      <c r="T70" s="44"/>
      <c r="U70" s="44"/>
      <c r="V70" s="44"/>
      <c r="W70" s="44"/>
      <c r="X70" s="44"/>
      <c r="Y70" s="47" t="s">
        <v>38</v>
      </c>
      <c r="Z70" s="44"/>
      <c r="AA70" s="44"/>
      <c r="AB70" s="44"/>
      <c r="AC70" s="44"/>
      <c r="AD70" s="43" t="s">
        <v>65</v>
      </c>
      <c r="AE70" s="44"/>
      <c r="AF70" s="47" t="s">
        <v>38</v>
      </c>
      <c r="AG70" s="44"/>
      <c r="AH70" s="44"/>
      <c r="AI70" s="44"/>
      <c r="AJ70" s="44"/>
      <c r="AL70">
        <f t="shared" si="18"/>
        <v>0</v>
      </c>
      <c r="AM70">
        <f t="shared" si="19"/>
        <v>2</v>
      </c>
      <c r="AN70">
        <f t="shared" si="20"/>
        <v>3</v>
      </c>
      <c r="AO70">
        <f t="shared" si="21"/>
        <v>1</v>
      </c>
      <c r="AP70">
        <f t="shared" si="22"/>
        <v>1</v>
      </c>
      <c r="AQ70">
        <f t="shared" si="23"/>
        <v>2</v>
      </c>
      <c r="AS70">
        <v>4132</v>
      </c>
      <c r="AT70" t="s">
        <v>363</v>
      </c>
    </row>
    <row r="71" spans="1:46" ht="21" customHeight="1" thickBot="1">
      <c r="A71" s="28" t="s">
        <v>215</v>
      </c>
      <c r="B71" s="4" t="s">
        <v>232</v>
      </c>
      <c r="C71" s="67" t="s">
        <v>233</v>
      </c>
      <c r="D71" s="47">
        <v>3043579916</v>
      </c>
      <c r="E71" s="43" t="s">
        <v>234</v>
      </c>
      <c r="F71" s="45">
        <v>45413</v>
      </c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7" t="s">
        <v>38</v>
      </c>
      <c r="U71" s="44"/>
      <c r="V71" s="44"/>
      <c r="W71" s="44"/>
      <c r="X71" s="44"/>
      <c r="Y71" s="44"/>
      <c r="Z71" s="44"/>
      <c r="AA71" s="44"/>
      <c r="AB71" s="47" t="s">
        <v>38</v>
      </c>
      <c r="AC71" s="47" t="s">
        <v>38</v>
      </c>
      <c r="AD71" s="43" t="s">
        <v>65</v>
      </c>
      <c r="AE71" s="44"/>
      <c r="AF71" s="44"/>
      <c r="AG71" s="47" t="s">
        <v>38</v>
      </c>
      <c r="AH71" s="44"/>
      <c r="AI71" s="44"/>
      <c r="AJ71" s="44"/>
      <c r="AL71">
        <f t="shared" si="18"/>
        <v>0</v>
      </c>
      <c r="AM71">
        <f t="shared" si="19"/>
        <v>3</v>
      </c>
      <c r="AN71">
        <f t="shared" si="20"/>
        <v>4</v>
      </c>
      <c r="AO71">
        <f t="shared" si="21"/>
        <v>2</v>
      </c>
      <c r="AP71">
        <f t="shared" si="22"/>
        <v>1</v>
      </c>
      <c r="AQ71">
        <f t="shared" si="23"/>
        <v>3</v>
      </c>
      <c r="AS71">
        <v>4132</v>
      </c>
      <c r="AT71" t="s">
        <v>363</v>
      </c>
    </row>
    <row r="72" spans="1:46" ht="21" customHeight="1" thickBot="1">
      <c r="A72" s="28" t="s">
        <v>215</v>
      </c>
      <c r="B72" s="4" t="s">
        <v>235</v>
      </c>
      <c r="C72" s="67" t="s">
        <v>236</v>
      </c>
      <c r="D72" s="47">
        <v>3156400586</v>
      </c>
      <c r="E72" s="43">
        <v>1</v>
      </c>
      <c r="F72" s="45">
        <v>45778</v>
      </c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7" t="s">
        <v>38</v>
      </c>
      <c r="U72" s="44"/>
      <c r="V72" s="44"/>
      <c r="W72" s="44"/>
      <c r="X72" s="44"/>
      <c r="Y72" s="44"/>
      <c r="Z72" s="44"/>
      <c r="AA72" s="44"/>
      <c r="AB72" s="47" t="s">
        <v>38</v>
      </c>
      <c r="AC72" s="47" t="s">
        <v>38</v>
      </c>
      <c r="AD72" s="43" t="s">
        <v>39</v>
      </c>
      <c r="AE72" s="44"/>
      <c r="AF72" s="44"/>
      <c r="AG72" s="47" t="s">
        <v>38</v>
      </c>
      <c r="AH72" s="44"/>
      <c r="AI72" s="44"/>
      <c r="AJ72" s="44"/>
      <c r="AL72">
        <f t="shared" si="18"/>
        <v>0</v>
      </c>
      <c r="AM72">
        <f t="shared" si="19"/>
        <v>3</v>
      </c>
      <c r="AN72">
        <f t="shared" si="20"/>
        <v>4</v>
      </c>
      <c r="AO72">
        <f t="shared" si="21"/>
        <v>2</v>
      </c>
      <c r="AP72">
        <f t="shared" si="22"/>
        <v>0</v>
      </c>
      <c r="AQ72">
        <f t="shared" si="23"/>
        <v>3</v>
      </c>
      <c r="AS72">
        <v>4132</v>
      </c>
      <c r="AT72" t="s">
        <v>363</v>
      </c>
    </row>
    <row r="73" spans="1:46" ht="21" customHeight="1" thickBot="1">
      <c r="A73" s="33" t="s">
        <v>72</v>
      </c>
      <c r="B73" s="47" t="s">
        <v>237</v>
      </c>
      <c r="C73" s="68" t="s">
        <v>238</v>
      </c>
      <c r="D73" s="43">
        <v>3146702636</v>
      </c>
      <c r="E73" s="43">
        <v>6</v>
      </c>
      <c r="F73" s="45">
        <v>45292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3" t="s">
        <v>94</v>
      </c>
      <c r="V73" s="44"/>
      <c r="W73" s="44"/>
      <c r="X73" s="44"/>
      <c r="Y73" s="43" t="s">
        <v>38</v>
      </c>
      <c r="Z73" s="43" t="s">
        <v>38</v>
      </c>
      <c r="AA73" s="43" t="s">
        <v>38</v>
      </c>
      <c r="AB73" s="43" t="s">
        <v>38</v>
      </c>
      <c r="AC73" s="43" t="s">
        <v>38</v>
      </c>
      <c r="AD73" s="43" t="s">
        <v>39</v>
      </c>
      <c r="AE73" s="44"/>
      <c r="AF73" s="44"/>
      <c r="AG73" s="44"/>
      <c r="AH73" s="43" t="s">
        <v>38</v>
      </c>
      <c r="AI73" s="44"/>
      <c r="AJ73" s="44"/>
      <c r="AL73">
        <f t="shared" si="18"/>
        <v>0</v>
      </c>
      <c r="AM73">
        <f t="shared" si="19"/>
        <v>4</v>
      </c>
      <c r="AN73">
        <f t="shared" si="20"/>
        <v>5</v>
      </c>
      <c r="AO73">
        <f t="shared" si="21"/>
        <v>5</v>
      </c>
      <c r="AP73">
        <f t="shared" si="22"/>
        <v>0</v>
      </c>
      <c r="AQ73">
        <f t="shared" si="23"/>
        <v>4</v>
      </c>
      <c r="AS73">
        <v>4132</v>
      </c>
      <c r="AT73" t="s">
        <v>363</v>
      </c>
    </row>
    <row r="74" spans="1:46" ht="21" customHeight="1" thickBot="1">
      <c r="A74" s="33" t="s">
        <v>72</v>
      </c>
      <c r="B74" s="47" t="s">
        <v>239</v>
      </c>
      <c r="C74" s="68" t="s">
        <v>240</v>
      </c>
      <c r="D74" s="43">
        <v>3113723111</v>
      </c>
      <c r="E74" s="43">
        <v>17</v>
      </c>
      <c r="F74" s="45">
        <v>45658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3" t="s">
        <v>38</v>
      </c>
      <c r="V74" s="44"/>
      <c r="W74" s="44"/>
      <c r="X74" s="44"/>
      <c r="Y74" s="43" t="s">
        <v>38</v>
      </c>
      <c r="Z74" s="43" t="s">
        <v>38</v>
      </c>
      <c r="AA74" s="43" t="s">
        <v>38</v>
      </c>
      <c r="AB74" s="43" t="s">
        <v>38</v>
      </c>
      <c r="AC74" s="43" t="s">
        <v>38</v>
      </c>
      <c r="AD74" s="43" t="s">
        <v>39</v>
      </c>
      <c r="AE74" s="44"/>
      <c r="AF74" s="44"/>
      <c r="AG74" s="44"/>
      <c r="AH74" s="43" t="s">
        <v>38</v>
      </c>
      <c r="AI74" s="44"/>
      <c r="AJ74" s="44"/>
      <c r="AL74">
        <f t="shared" si="18"/>
        <v>0</v>
      </c>
      <c r="AM74">
        <f t="shared" si="19"/>
        <v>4</v>
      </c>
      <c r="AN74">
        <f t="shared" si="20"/>
        <v>5</v>
      </c>
      <c r="AO74">
        <f t="shared" si="21"/>
        <v>5</v>
      </c>
      <c r="AP74">
        <f t="shared" si="22"/>
        <v>0</v>
      </c>
      <c r="AQ74">
        <f t="shared" si="23"/>
        <v>4</v>
      </c>
      <c r="AS74">
        <v>4132</v>
      </c>
      <c r="AT74" t="s">
        <v>363</v>
      </c>
    </row>
    <row r="75" spans="1:46" ht="21" customHeight="1" thickBot="1">
      <c r="A75" s="33" t="s">
        <v>72</v>
      </c>
      <c r="B75" s="69" t="s">
        <v>241</v>
      </c>
      <c r="C75" s="68" t="s">
        <v>242</v>
      </c>
      <c r="D75" s="43">
        <v>3176695769</v>
      </c>
      <c r="E75" s="43">
        <v>14</v>
      </c>
      <c r="F75" s="45">
        <v>45748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3" t="s">
        <v>38</v>
      </c>
      <c r="V75" s="44"/>
      <c r="W75" s="44"/>
      <c r="X75" s="44"/>
      <c r="Y75" s="43" t="s">
        <v>38</v>
      </c>
      <c r="Z75" s="43" t="s">
        <v>38</v>
      </c>
      <c r="AA75" s="43" t="s">
        <v>38</v>
      </c>
      <c r="AB75" s="43" t="s">
        <v>38</v>
      </c>
      <c r="AC75" s="43" t="s">
        <v>38</v>
      </c>
      <c r="AD75" s="43" t="s">
        <v>39</v>
      </c>
      <c r="AE75" s="44"/>
      <c r="AF75" s="44"/>
      <c r="AG75" s="44"/>
      <c r="AH75" s="44"/>
      <c r="AI75" s="43" t="s">
        <v>38</v>
      </c>
      <c r="AJ75" s="44"/>
      <c r="AL75">
        <f t="shared" si="18"/>
        <v>0</v>
      </c>
      <c r="AM75">
        <f t="shared" si="19"/>
        <v>4</v>
      </c>
      <c r="AN75">
        <f t="shared" si="20"/>
        <v>5</v>
      </c>
      <c r="AO75">
        <f t="shared" si="21"/>
        <v>5</v>
      </c>
      <c r="AP75">
        <f t="shared" si="22"/>
        <v>0</v>
      </c>
      <c r="AQ75">
        <f t="shared" si="23"/>
        <v>5</v>
      </c>
      <c r="AS75">
        <v>4132</v>
      </c>
      <c r="AT75" t="s">
        <v>363</v>
      </c>
    </row>
    <row r="76" spans="1:46" ht="21" customHeight="1" thickBot="1">
      <c r="A76" s="33" t="s">
        <v>72</v>
      </c>
      <c r="B76" s="69" t="s">
        <v>243</v>
      </c>
      <c r="C76" s="68" t="s">
        <v>244</v>
      </c>
      <c r="D76" s="43">
        <v>3107392357</v>
      </c>
      <c r="E76" s="43">
        <v>6</v>
      </c>
      <c r="F76" s="45">
        <v>44835</v>
      </c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3" t="s">
        <v>38</v>
      </c>
      <c r="V76" s="44"/>
      <c r="W76" s="44"/>
      <c r="X76" s="44"/>
      <c r="Y76" s="43" t="s">
        <v>38</v>
      </c>
      <c r="Z76" s="43" t="s">
        <v>38</v>
      </c>
      <c r="AA76" s="43" t="s">
        <v>38</v>
      </c>
      <c r="AB76" s="43" t="s">
        <v>38</v>
      </c>
      <c r="AC76" s="43" t="s">
        <v>38</v>
      </c>
      <c r="AD76" s="43" t="s">
        <v>39</v>
      </c>
      <c r="AE76" s="44"/>
      <c r="AF76" s="44"/>
      <c r="AG76" s="44"/>
      <c r="AH76" s="43" t="s">
        <v>38</v>
      </c>
      <c r="AI76" s="44"/>
      <c r="AJ76" s="44"/>
      <c r="AL76">
        <f t="shared" si="18"/>
        <v>0</v>
      </c>
      <c r="AM76">
        <f t="shared" si="19"/>
        <v>4</v>
      </c>
      <c r="AN76">
        <f t="shared" si="20"/>
        <v>5</v>
      </c>
      <c r="AO76">
        <f t="shared" si="21"/>
        <v>5</v>
      </c>
      <c r="AP76">
        <f t="shared" si="22"/>
        <v>0</v>
      </c>
      <c r="AQ76">
        <f t="shared" si="23"/>
        <v>4</v>
      </c>
      <c r="AS76">
        <v>4132</v>
      </c>
      <c r="AT76" t="s">
        <v>363</v>
      </c>
    </row>
    <row r="77" spans="1:46" ht="21" customHeight="1" thickBot="1">
      <c r="A77" s="33" t="s">
        <v>72</v>
      </c>
      <c r="B77" s="69" t="s">
        <v>245</v>
      </c>
      <c r="C77" s="68" t="s">
        <v>246</v>
      </c>
      <c r="D77" s="43">
        <v>3103782149</v>
      </c>
      <c r="E77" s="43">
        <v>12</v>
      </c>
      <c r="F77" s="45">
        <v>43891</v>
      </c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3" t="s">
        <v>38</v>
      </c>
      <c r="V77" s="44"/>
      <c r="W77" s="44"/>
      <c r="X77" s="44"/>
      <c r="Y77" s="43" t="s">
        <v>38</v>
      </c>
      <c r="Z77" s="43" t="s">
        <v>38</v>
      </c>
      <c r="AA77" s="43" t="s">
        <v>38</v>
      </c>
      <c r="AB77" s="43" t="s">
        <v>38</v>
      </c>
      <c r="AC77" s="43" t="s">
        <v>38</v>
      </c>
      <c r="AD77" s="43" t="s">
        <v>39</v>
      </c>
      <c r="AE77" s="44"/>
      <c r="AF77" s="44"/>
      <c r="AG77" s="44"/>
      <c r="AH77" s="43" t="s">
        <v>38</v>
      </c>
      <c r="AI77" s="44"/>
      <c r="AJ77" s="44"/>
      <c r="AL77">
        <f t="shared" si="18"/>
        <v>0</v>
      </c>
      <c r="AM77">
        <f t="shared" si="19"/>
        <v>4</v>
      </c>
      <c r="AN77">
        <f t="shared" si="20"/>
        <v>5</v>
      </c>
      <c r="AO77">
        <f t="shared" si="21"/>
        <v>5</v>
      </c>
      <c r="AP77">
        <f t="shared" si="22"/>
        <v>0</v>
      </c>
      <c r="AQ77">
        <f t="shared" si="23"/>
        <v>4</v>
      </c>
      <c r="AS77">
        <v>4132</v>
      </c>
      <c r="AT77" t="s">
        <v>363</v>
      </c>
    </row>
    <row r="78" spans="1:46" ht="21" customHeight="1" thickBot="1">
      <c r="A78" s="33" t="s">
        <v>72</v>
      </c>
      <c r="B78" s="69" t="s">
        <v>247</v>
      </c>
      <c r="C78" s="68" t="s">
        <v>248</v>
      </c>
      <c r="D78" s="43">
        <v>3216598300</v>
      </c>
      <c r="E78" s="43">
        <v>6</v>
      </c>
      <c r="F78" s="45">
        <v>45658</v>
      </c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3" t="s">
        <v>38</v>
      </c>
      <c r="V78" s="43" t="s">
        <v>38</v>
      </c>
      <c r="W78" s="43" t="s">
        <v>38</v>
      </c>
      <c r="X78" s="43" t="s">
        <v>38</v>
      </c>
      <c r="Y78" s="43" t="s">
        <v>38</v>
      </c>
      <c r="Z78" s="43" t="s">
        <v>38</v>
      </c>
      <c r="AA78" s="43" t="s">
        <v>38</v>
      </c>
      <c r="AB78" s="43" t="s">
        <v>38</v>
      </c>
      <c r="AC78" s="43" t="s">
        <v>38</v>
      </c>
      <c r="AD78" s="43" t="s">
        <v>65</v>
      </c>
      <c r="AE78" s="44"/>
      <c r="AF78" s="44"/>
      <c r="AG78" s="44"/>
      <c r="AH78" s="43" t="s">
        <v>38</v>
      </c>
      <c r="AI78" s="44"/>
      <c r="AJ78" s="44"/>
      <c r="AL78">
        <f t="shared" si="18"/>
        <v>0</v>
      </c>
      <c r="AM78">
        <f t="shared" si="19"/>
        <v>4</v>
      </c>
      <c r="AN78">
        <f t="shared" si="20"/>
        <v>5</v>
      </c>
      <c r="AO78">
        <f t="shared" si="21"/>
        <v>8</v>
      </c>
      <c r="AP78">
        <f t="shared" si="22"/>
        <v>1</v>
      </c>
      <c r="AQ78">
        <f t="shared" si="23"/>
        <v>4</v>
      </c>
      <c r="AS78">
        <v>4132</v>
      </c>
      <c r="AT78" t="s">
        <v>363</v>
      </c>
    </row>
    <row r="79" spans="1:46" ht="21" customHeight="1" thickBot="1">
      <c r="A79" s="33" t="s">
        <v>72</v>
      </c>
      <c r="B79" s="69" t="s">
        <v>249</v>
      </c>
      <c r="C79" s="68" t="s">
        <v>250</v>
      </c>
      <c r="D79" s="43">
        <v>3148297908</v>
      </c>
      <c r="E79" s="43">
        <v>12</v>
      </c>
      <c r="F79" s="45">
        <v>45413</v>
      </c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3" t="s">
        <v>38</v>
      </c>
      <c r="V79" s="44"/>
      <c r="W79" s="44"/>
      <c r="X79" s="44"/>
      <c r="Y79" s="43" t="s">
        <v>38</v>
      </c>
      <c r="Z79" s="43" t="s">
        <v>38</v>
      </c>
      <c r="AA79" s="43" t="s">
        <v>38</v>
      </c>
      <c r="AB79" s="43" t="s">
        <v>38</v>
      </c>
      <c r="AC79" s="43" t="s">
        <v>38</v>
      </c>
      <c r="AD79" s="43" t="s">
        <v>39</v>
      </c>
      <c r="AE79" s="44"/>
      <c r="AF79" s="44"/>
      <c r="AG79" s="44"/>
      <c r="AH79" s="43" t="s">
        <v>38</v>
      </c>
      <c r="AI79" s="44"/>
      <c r="AJ79" s="44"/>
      <c r="AL79">
        <f t="shared" si="18"/>
        <v>0</v>
      </c>
      <c r="AM79">
        <f t="shared" si="19"/>
        <v>4</v>
      </c>
      <c r="AN79">
        <f t="shared" si="20"/>
        <v>5</v>
      </c>
      <c r="AO79">
        <f t="shared" si="21"/>
        <v>5</v>
      </c>
      <c r="AP79">
        <f t="shared" si="22"/>
        <v>0</v>
      </c>
      <c r="AQ79">
        <f t="shared" si="23"/>
        <v>4</v>
      </c>
      <c r="AS79">
        <v>4132</v>
      </c>
      <c r="AT79" t="s">
        <v>363</v>
      </c>
    </row>
    <row r="80" spans="1:46" ht="21" customHeight="1" thickBot="1">
      <c r="A80" s="33" t="s">
        <v>72</v>
      </c>
      <c r="B80" s="69" t="s">
        <v>251</v>
      </c>
      <c r="C80" s="68" t="s">
        <v>252</v>
      </c>
      <c r="D80" s="43">
        <v>3148379077</v>
      </c>
      <c r="E80" s="43">
        <v>7</v>
      </c>
      <c r="F80" s="45">
        <v>45413</v>
      </c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3" t="s">
        <v>38</v>
      </c>
      <c r="V80" s="44"/>
      <c r="W80" s="44"/>
      <c r="X80" s="44"/>
      <c r="Y80" s="43" t="s">
        <v>38</v>
      </c>
      <c r="Z80" s="43" t="s">
        <v>38</v>
      </c>
      <c r="AA80" s="43" t="s">
        <v>38</v>
      </c>
      <c r="AB80" s="43" t="s">
        <v>38</v>
      </c>
      <c r="AC80" s="43" t="s">
        <v>38</v>
      </c>
      <c r="AD80" s="43" t="s">
        <v>39</v>
      </c>
      <c r="AE80" s="44"/>
      <c r="AF80" s="44"/>
      <c r="AG80" s="44"/>
      <c r="AH80" s="43" t="s">
        <v>38</v>
      </c>
      <c r="AI80" s="44"/>
      <c r="AJ80" s="44"/>
      <c r="AL80">
        <f t="shared" si="18"/>
        <v>0</v>
      </c>
      <c r="AM80">
        <f t="shared" si="19"/>
        <v>4</v>
      </c>
      <c r="AN80">
        <f t="shared" si="20"/>
        <v>5</v>
      </c>
      <c r="AO80">
        <f t="shared" si="21"/>
        <v>5</v>
      </c>
      <c r="AP80">
        <f t="shared" si="22"/>
        <v>0</v>
      </c>
      <c r="AQ80">
        <f t="shared" si="23"/>
        <v>4</v>
      </c>
      <c r="AS80">
        <v>4132</v>
      </c>
      <c r="AT80" t="s">
        <v>363</v>
      </c>
    </row>
    <row r="81" spans="1:46" ht="21" customHeight="1" thickBot="1">
      <c r="A81" s="33" t="s">
        <v>72</v>
      </c>
      <c r="B81" s="69" t="s">
        <v>253</v>
      </c>
      <c r="C81" s="68" t="s">
        <v>254</v>
      </c>
      <c r="D81" s="43">
        <v>3155604430</v>
      </c>
      <c r="E81" s="43">
        <v>19</v>
      </c>
      <c r="F81" s="45">
        <v>44378</v>
      </c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3" t="s">
        <v>38</v>
      </c>
      <c r="V81" s="43" t="s">
        <v>38</v>
      </c>
      <c r="W81" s="43" t="s">
        <v>38</v>
      </c>
      <c r="X81" s="43" t="s">
        <v>38</v>
      </c>
      <c r="Y81" s="43" t="s">
        <v>38</v>
      </c>
      <c r="Z81" s="43" t="s">
        <v>38</v>
      </c>
      <c r="AA81" s="43" t="s">
        <v>38</v>
      </c>
      <c r="AB81" s="43" t="s">
        <v>38</v>
      </c>
      <c r="AC81" s="43" t="s">
        <v>38</v>
      </c>
      <c r="AD81" s="43" t="s">
        <v>65</v>
      </c>
      <c r="AE81" s="44"/>
      <c r="AF81" s="44"/>
      <c r="AG81" s="44"/>
      <c r="AH81" s="43" t="s">
        <v>38</v>
      </c>
      <c r="AI81" s="44"/>
      <c r="AJ81" s="44"/>
      <c r="AL81">
        <f t="shared" si="18"/>
        <v>0</v>
      </c>
      <c r="AM81">
        <f t="shared" si="19"/>
        <v>4</v>
      </c>
      <c r="AN81">
        <f t="shared" si="20"/>
        <v>5</v>
      </c>
      <c r="AO81">
        <f t="shared" si="21"/>
        <v>8</v>
      </c>
      <c r="AP81">
        <f t="shared" si="22"/>
        <v>1</v>
      </c>
      <c r="AQ81">
        <f t="shared" si="23"/>
        <v>4</v>
      </c>
      <c r="AS81">
        <v>4132</v>
      </c>
      <c r="AT81" t="s">
        <v>363</v>
      </c>
    </row>
    <row r="82" spans="1:46" ht="21" customHeight="1" thickBot="1">
      <c r="A82" s="33" t="s">
        <v>72</v>
      </c>
      <c r="B82" s="69" t="s">
        <v>255</v>
      </c>
      <c r="C82" s="68" t="s">
        <v>256</v>
      </c>
      <c r="D82" s="43">
        <v>3015075690</v>
      </c>
      <c r="E82" s="43">
        <v>10</v>
      </c>
      <c r="F82" s="45">
        <v>45931</v>
      </c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3" t="s">
        <v>38</v>
      </c>
      <c r="V82" s="44"/>
      <c r="W82" s="44"/>
      <c r="X82" s="44"/>
      <c r="Y82" s="43" t="s">
        <v>38</v>
      </c>
      <c r="Z82" s="43" t="s">
        <v>38</v>
      </c>
      <c r="AA82" s="43" t="s">
        <v>38</v>
      </c>
      <c r="AB82" s="43" t="s">
        <v>38</v>
      </c>
      <c r="AC82" s="43" t="s">
        <v>38</v>
      </c>
      <c r="AD82" s="43" t="s">
        <v>39</v>
      </c>
      <c r="AE82" s="44"/>
      <c r="AF82" s="44"/>
      <c r="AG82" s="44"/>
      <c r="AH82" s="43" t="s">
        <v>38</v>
      </c>
      <c r="AI82" s="44"/>
      <c r="AJ82" s="44"/>
      <c r="AL82">
        <f t="shared" si="18"/>
        <v>0</v>
      </c>
      <c r="AM82">
        <f t="shared" si="19"/>
        <v>4</v>
      </c>
      <c r="AN82">
        <f t="shared" si="20"/>
        <v>5</v>
      </c>
      <c r="AO82">
        <f t="shared" si="21"/>
        <v>5</v>
      </c>
      <c r="AP82">
        <f t="shared" si="22"/>
        <v>0</v>
      </c>
      <c r="AQ82">
        <f t="shared" si="23"/>
        <v>4</v>
      </c>
      <c r="AS82">
        <v>4132</v>
      </c>
      <c r="AT82" t="s">
        <v>363</v>
      </c>
    </row>
    <row r="83" spans="1:46" ht="21" customHeight="1" thickBot="1">
      <c r="A83" s="33" t="s">
        <v>72</v>
      </c>
      <c r="B83" s="69" t="s">
        <v>257</v>
      </c>
      <c r="C83" s="68" t="s">
        <v>258</v>
      </c>
      <c r="D83" s="43">
        <v>3147820104</v>
      </c>
      <c r="E83" s="43">
        <v>8</v>
      </c>
      <c r="F83" s="45">
        <v>45689</v>
      </c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3" t="s">
        <v>38</v>
      </c>
      <c r="V83" s="44"/>
      <c r="W83" s="44"/>
      <c r="X83" s="44"/>
      <c r="Y83" s="43" t="s">
        <v>38</v>
      </c>
      <c r="Z83" s="43" t="s">
        <v>38</v>
      </c>
      <c r="AA83" s="43" t="s">
        <v>38</v>
      </c>
      <c r="AB83" s="43" t="s">
        <v>38</v>
      </c>
      <c r="AC83" s="43" t="s">
        <v>38</v>
      </c>
      <c r="AD83" s="43" t="s">
        <v>39</v>
      </c>
      <c r="AE83" s="44"/>
      <c r="AF83" s="44"/>
      <c r="AG83" s="44"/>
      <c r="AH83" s="43" t="s">
        <v>38</v>
      </c>
      <c r="AI83" s="44"/>
      <c r="AJ83" s="44"/>
      <c r="AL83">
        <f t="shared" si="18"/>
        <v>0</v>
      </c>
      <c r="AM83">
        <f t="shared" si="19"/>
        <v>4</v>
      </c>
      <c r="AN83">
        <f t="shared" si="20"/>
        <v>5</v>
      </c>
      <c r="AO83">
        <f t="shared" si="21"/>
        <v>5</v>
      </c>
      <c r="AP83">
        <f t="shared" si="22"/>
        <v>0</v>
      </c>
      <c r="AQ83">
        <f t="shared" si="23"/>
        <v>4</v>
      </c>
      <c r="AS83">
        <v>4132</v>
      </c>
      <c r="AT83" t="s">
        <v>363</v>
      </c>
    </row>
    <row r="84" spans="1:46" ht="21" customHeight="1" thickBot="1">
      <c r="A84" s="33" t="s">
        <v>72</v>
      </c>
      <c r="B84" s="69" t="s">
        <v>259</v>
      </c>
      <c r="C84" s="68" t="s">
        <v>260</v>
      </c>
      <c r="D84" s="43">
        <v>3045224797</v>
      </c>
      <c r="E84" s="44"/>
      <c r="F84" s="45">
        <v>44166</v>
      </c>
      <c r="G84" s="43" t="s">
        <v>38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3" t="s">
        <v>38</v>
      </c>
      <c r="Z84" s="43" t="s">
        <v>38</v>
      </c>
      <c r="AA84" s="43" t="s">
        <v>38</v>
      </c>
      <c r="AB84" s="43" t="s">
        <v>38</v>
      </c>
      <c r="AC84" s="43" t="s">
        <v>38</v>
      </c>
      <c r="AD84" s="43" t="s">
        <v>39</v>
      </c>
      <c r="AE84" s="44"/>
      <c r="AF84" s="43" t="s">
        <v>38</v>
      </c>
      <c r="AG84" s="44"/>
      <c r="AH84" s="44"/>
      <c r="AI84" s="44"/>
      <c r="AJ84" s="44"/>
      <c r="AL84">
        <f t="shared" si="18"/>
        <v>1</v>
      </c>
      <c r="AM84">
        <f t="shared" si="19"/>
        <v>0</v>
      </c>
      <c r="AN84">
        <f t="shared" si="20"/>
        <v>1</v>
      </c>
      <c r="AO84">
        <f t="shared" si="21"/>
        <v>5</v>
      </c>
      <c r="AP84">
        <f t="shared" si="22"/>
        <v>0</v>
      </c>
      <c r="AQ84">
        <f t="shared" si="23"/>
        <v>2</v>
      </c>
      <c r="AS84">
        <v>4132</v>
      </c>
      <c r="AT84" t="s">
        <v>363</v>
      </c>
    </row>
    <row r="85" spans="1:46" ht="21" customHeight="1" thickBot="1">
      <c r="A85" s="33" t="s">
        <v>72</v>
      </c>
      <c r="B85" s="69" t="s">
        <v>261</v>
      </c>
      <c r="C85" s="68" t="s">
        <v>262</v>
      </c>
      <c r="D85" s="43">
        <v>3186988678</v>
      </c>
      <c r="E85" s="43">
        <v>8</v>
      </c>
      <c r="F85" s="45">
        <v>45292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3" t="s">
        <v>38</v>
      </c>
      <c r="V85" s="44"/>
      <c r="W85" s="44"/>
      <c r="X85" s="44"/>
      <c r="Y85" s="43" t="s">
        <v>38</v>
      </c>
      <c r="Z85" s="43" t="s">
        <v>38</v>
      </c>
      <c r="AA85" s="43" t="s">
        <v>38</v>
      </c>
      <c r="AB85" s="43" t="s">
        <v>38</v>
      </c>
      <c r="AC85" s="43" t="s">
        <v>38</v>
      </c>
      <c r="AD85" s="43" t="s">
        <v>39</v>
      </c>
      <c r="AE85" s="44"/>
      <c r="AF85" s="44"/>
      <c r="AG85" s="44"/>
      <c r="AH85" s="43" t="s">
        <v>38</v>
      </c>
      <c r="AI85" s="44"/>
      <c r="AJ85" s="44"/>
      <c r="AL85">
        <f t="shared" si="18"/>
        <v>0</v>
      </c>
      <c r="AM85">
        <f t="shared" si="19"/>
        <v>4</v>
      </c>
      <c r="AN85">
        <f t="shared" si="20"/>
        <v>5</v>
      </c>
      <c r="AO85">
        <f t="shared" si="21"/>
        <v>5</v>
      </c>
      <c r="AP85">
        <f t="shared" si="22"/>
        <v>0</v>
      </c>
      <c r="AQ85">
        <f t="shared" si="23"/>
        <v>4</v>
      </c>
      <c r="AS85">
        <v>4132</v>
      </c>
      <c r="AT85" t="s">
        <v>363</v>
      </c>
    </row>
    <row r="86" spans="1:46" ht="21" customHeight="1" thickBot="1">
      <c r="A86" s="33" t="s">
        <v>72</v>
      </c>
      <c r="B86" s="69" t="s">
        <v>263</v>
      </c>
      <c r="C86" s="68" t="s">
        <v>264</v>
      </c>
      <c r="D86" s="43">
        <v>3164425926</v>
      </c>
      <c r="E86" s="43">
        <v>35</v>
      </c>
      <c r="F86" s="45">
        <v>42948</v>
      </c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3" t="s">
        <v>38</v>
      </c>
      <c r="V86" s="44"/>
      <c r="W86" s="44"/>
      <c r="X86" s="44"/>
      <c r="Y86" s="43" t="s">
        <v>38</v>
      </c>
      <c r="Z86" s="43" t="s">
        <v>38</v>
      </c>
      <c r="AA86" s="43" t="s">
        <v>38</v>
      </c>
      <c r="AB86" s="43" t="s">
        <v>38</v>
      </c>
      <c r="AC86" s="43" t="s">
        <v>38</v>
      </c>
      <c r="AD86" s="43" t="s">
        <v>39</v>
      </c>
      <c r="AE86" s="44"/>
      <c r="AF86" s="44"/>
      <c r="AG86" s="44"/>
      <c r="AH86" s="44"/>
      <c r="AI86" s="44"/>
      <c r="AJ86" s="44"/>
      <c r="AL86">
        <f t="shared" si="18"/>
        <v>0</v>
      </c>
      <c r="AM86">
        <f t="shared" si="19"/>
        <v>4</v>
      </c>
      <c r="AN86">
        <f t="shared" si="20"/>
        <v>5</v>
      </c>
      <c r="AO86">
        <f t="shared" si="21"/>
        <v>5</v>
      </c>
      <c r="AP86">
        <f t="shared" si="22"/>
        <v>0</v>
      </c>
      <c r="AQ86">
        <f t="shared" si="23"/>
        <v>0</v>
      </c>
      <c r="AS86">
        <v>4132</v>
      </c>
      <c r="AT86" t="s">
        <v>363</v>
      </c>
    </row>
    <row r="87" spans="1:46" ht="21" customHeight="1" thickBot="1">
      <c r="A87" s="33" t="s">
        <v>72</v>
      </c>
      <c r="B87" s="47" t="s">
        <v>265</v>
      </c>
      <c r="C87" s="68" t="s">
        <v>266</v>
      </c>
      <c r="D87" s="43">
        <v>3207756820</v>
      </c>
      <c r="E87" s="43">
        <v>24</v>
      </c>
      <c r="F87" s="45">
        <v>45261</v>
      </c>
      <c r="G87" s="44"/>
      <c r="H87" s="44"/>
      <c r="I87" s="44"/>
      <c r="J87" s="44"/>
      <c r="K87" s="44"/>
      <c r="L87" s="44"/>
      <c r="M87" s="43" t="s">
        <v>38</v>
      </c>
      <c r="N87" s="44"/>
      <c r="O87" s="44"/>
      <c r="P87" s="44"/>
      <c r="Q87" s="44"/>
      <c r="R87" s="44"/>
      <c r="S87" s="44"/>
      <c r="T87" s="44"/>
      <c r="U87" s="44"/>
      <c r="V87" s="43" t="s">
        <v>38</v>
      </c>
      <c r="W87" s="43" t="s">
        <v>38</v>
      </c>
      <c r="X87" s="43" t="s">
        <v>38</v>
      </c>
      <c r="Y87" s="43" t="s">
        <v>38</v>
      </c>
      <c r="Z87" s="43" t="s">
        <v>38</v>
      </c>
      <c r="AA87" s="43" t="s">
        <v>38</v>
      </c>
      <c r="AB87" s="43" t="s">
        <v>38</v>
      </c>
      <c r="AC87" s="43" t="s">
        <v>38</v>
      </c>
      <c r="AD87" s="43" t="s">
        <v>39</v>
      </c>
      <c r="AE87" s="44"/>
      <c r="AF87" s="44"/>
      <c r="AG87" s="44"/>
      <c r="AH87" s="44"/>
      <c r="AI87" s="43" t="s">
        <v>38</v>
      </c>
      <c r="AJ87" s="44"/>
      <c r="AL87">
        <f t="shared" si="18"/>
        <v>4</v>
      </c>
      <c r="AM87">
        <f t="shared" si="19"/>
        <v>0</v>
      </c>
      <c r="AN87">
        <f t="shared" si="20"/>
        <v>1</v>
      </c>
      <c r="AO87">
        <f t="shared" si="21"/>
        <v>8</v>
      </c>
      <c r="AP87">
        <f t="shared" si="22"/>
        <v>0</v>
      </c>
      <c r="AQ87">
        <f t="shared" si="23"/>
        <v>5</v>
      </c>
      <c r="AS87">
        <v>4132</v>
      </c>
      <c r="AT87" t="s">
        <v>363</v>
      </c>
    </row>
    <row r="88" spans="1:46" ht="21" customHeight="1" thickBot="1">
      <c r="A88" s="33" t="s">
        <v>72</v>
      </c>
      <c r="B88" s="47" t="s">
        <v>267</v>
      </c>
      <c r="C88" s="68" t="s">
        <v>268</v>
      </c>
      <c r="D88" s="43">
        <v>3136388800</v>
      </c>
      <c r="E88" s="43">
        <v>15</v>
      </c>
      <c r="F88" s="45">
        <v>45689</v>
      </c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3" t="s">
        <v>38</v>
      </c>
      <c r="V88" s="44"/>
      <c r="W88" s="44"/>
      <c r="X88" s="44"/>
      <c r="Y88" s="43" t="s">
        <v>38</v>
      </c>
      <c r="Z88" s="43" t="s">
        <v>38</v>
      </c>
      <c r="AA88" s="43" t="s">
        <v>38</v>
      </c>
      <c r="AB88" s="43" t="s">
        <v>38</v>
      </c>
      <c r="AC88" s="43" t="s">
        <v>38</v>
      </c>
      <c r="AD88" s="43" t="s">
        <v>39</v>
      </c>
      <c r="AE88" s="44"/>
      <c r="AF88" s="44"/>
      <c r="AG88" s="44"/>
      <c r="AH88" s="44"/>
      <c r="AI88" s="43" t="s">
        <v>38</v>
      </c>
      <c r="AJ88" s="44"/>
      <c r="AL88">
        <f t="shared" si="18"/>
        <v>0</v>
      </c>
      <c r="AM88">
        <f t="shared" si="19"/>
        <v>4</v>
      </c>
      <c r="AN88">
        <f t="shared" si="20"/>
        <v>5</v>
      </c>
      <c r="AO88">
        <f t="shared" si="21"/>
        <v>5</v>
      </c>
      <c r="AP88">
        <f t="shared" si="22"/>
        <v>0</v>
      </c>
      <c r="AQ88">
        <f t="shared" si="23"/>
        <v>5</v>
      </c>
      <c r="AS88">
        <v>4132</v>
      </c>
      <c r="AT88" t="s">
        <v>363</v>
      </c>
    </row>
    <row r="89" spans="1:46" ht="21" customHeight="1" thickBot="1">
      <c r="A89" s="70" t="s">
        <v>269</v>
      </c>
      <c r="B89" s="47" t="s">
        <v>270</v>
      </c>
      <c r="C89" s="71" t="s">
        <v>271</v>
      </c>
      <c r="D89" s="47">
        <v>3104027683</v>
      </c>
      <c r="E89" s="43">
        <v>37</v>
      </c>
      <c r="F89" s="45">
        <v>32994</v>
      </c>
      <c r="G89" s="44"/>
      <c r="H89" s="43" t="s">
        <v>38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3" t="s">
        <v>39</v>
      </c>
      <c r="AE89" s="8"/>
      <c r="AF89" s="43" t="s">
        <v>38</v>
      </c>
      <c r="AG89" s="44"/>
      <c r="AH89" s="44"/>
      <c r="AI89" s="44"/>
      <c r="AJ89" s="44"/>
      <c r="AL89">
        <f t="shared" si="18"/>
        <v>2</v>
      </c>
      <c r="AM89">
        <f t="shared" si="19"/>
        <v>0</v>
      </c>
      <c r="AN89">
        <f t="shared" si="20"/>
        <v>1</v>
      </c>
      <c r="AO89">
        <f t="shared" si="21"/>
        <v>0</v>
      </c>
      <c r="AP89">
        <f t="shared" si="22"/>
        <v>0</v>
      </c>
      <c r="AQ89">
        <f t="shared" si="23"/>
        <v>2</v>
      </c>
      <c r="AS89">
        <v>4132</v>
      </c>
      <c r="AT89" t="s">
        <v>363</v>
      </c>
    </row>
    <row r="90" spans="1:46" ht="21" customHeight="1" thickBot="1">
      <c r="A90" s="70" t="s">
        <v>269</v>
      </c>
      <c r="B90" s="47" t="s">
        <v>272</v>
      </c>
      <c r="C90" s="71" t="s">
        <v>273</v>
      </c>
      <c r="D90" s="47">
        <v>3165284211</v>
      </c>
      <c r="E90" s="43">
        <v>22</v>
      </c>
      <c r="F90" s="45">
        <v>39326</v>
      </c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3" t="s">
        <v>38</v>
      </c>
      <c r="V90" s="44"/>
      <c r="W90" s="44"/>
      <c r="X90" s="44"/>
      <c r="Y90" s="44"/>
      <c r="Z90" s="44"/>
      <c r="AA90" s="44"/>
      <c r="AB90" s="44"/>
      <c r="AC90" s="44"/>
      <c r="AD90" s="43" t="s">
        <v>39</v>
      </c>
      <c r="AE90" s="8"/>
      <c r="AF90" s="44"/>
      <c r="AG90" s="44"/>
      <c r="AH90" s="43" t="s">
        <v>38</v>
      </c>
      <c r="AI90" s="44"/>
      <c r="AJ90" s="44"/>
      <c r="AL90">
        <f t="shared" si="18"/>
        <v>0</v>
      </c>
      <c r="AM90">
        <f t="shared" si="19"/>
        <v>4</v>
      </c>
      <c r="AN90">
        <f t="shared" si="20"/>
        <v>5</v>
      </c>
      <c r="AO90">
        <f t="shared" si="21"/>
        <v>0</v>
      </c>
      <c r="AP90">
        <f t="shared" si="22"/>
        <v>0</v>
      </c>
      <c r="AQ90">
        <f t="shared" si="23"/>
        <v>4</v>
      </c>
      <c r="AS90">
        <v>4132</v>
      </c>
      <c r="AT90" t="s">
        <v>363</v>
      </c>
    </row>
    <row r="91" spans="1:46" ht="21" customHeight="1" thickBot="1">
      <c r="A91" s="70" t="s">
        <v>269</v>
      </c>
      <c r="B91" s="47" t="s">
        <v>274</v>
      </c>
      <c r="C91" s="71" t="s">
        <v>275</v>
      </c>
      <c r="D91" s="47">
        <v>3006132456</v>
      </c>
      <c r="E91" s="43">
        <v>20</v>
      </c>
      <c r="F91" s="45">
        <v>39845</v>
      </c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3" t="s">
        <v>38</v>
      </c>
      <c r="V91" s="44"/>
      <c r="W91" s="44"/>
      <c r="X91" s="44"/>
      <c r="Y91" s="44"/>
      <c r="Z91" s="44"/>
      <c r="AA91" s="44"/>
      <c r="AB91" s="44"/>
      <c r="AC91" s="44"/>
      <c r="AD91" s="43" t="s">
        <v>39</v>
      </c>
      <c r="AE91" s="8"/>
      <c r="AF91" s="44"/>
      <c r="AG91" s="44"/>
      <c r="AH91" s="43" t="s">
        <v>38</v>
      </c>
      <c r="AI91" s="44"/>
      <c r="AJ91" s="44"/>
      <c r="AL91">
        <f t="shared" si="18"/>
        <v>0</v>
      </c>
      <c r="AM91">
        <f t="shared" si="19"/>
        <v>4</v>
      </c>
      <c r="AN91">
        <f t="shared" si="20"/>
        <v>5</v>
      </c>
      <c r="AO91">
        <f t="shared" si="21"/>
        <v>0</v>
      </c>
      <c r="AP91">
        <f t="shared" si="22"/>
        <v>0</v>
      </c>
      <c r="AQ91">
        <f t="shared" si="23"/>
        <v>4</v>
      </c>
      <c r="AS91">
        <v>4132</v>
      </c>
      <c r="AT91" t="s">
        <v>363</v>
      </c>
    </row>
    <row r="92" spans="1:46" ht="21" customHeight="1" thickBot="1">
      <c r="A92" s="70" t="s">
        <v>269</v>
      </c>
      <c r="B92" s="47" t="s">
        <v>276</v>
      </c>
      <c r="C92" s="71" t="s">
        <v>277</v>
      </c>
      <c r="D92" s="47">
        <v>3172861568</v>
      </c>
      <c r="E92" s="43">
        <v>16</v>
      </c>
      <c r="F92" s="45">
        <v>39845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3" t="s">
        <v>38</v>
      </c>
      <c r="V92" s="44"/>
      <c r="W92" s="44"/>
      <c r="X92" s="44"/>
      <c r="Y92" s="44"/>
      <c r="Z92" s="44"/>
      <c r="AA92" s="44"/>
      <c r="AB92" s="44"/>
      <c r="AC92" s="44"/>
      <c r="AD92" s="43" t="s">
        <v>39</v>
      </c>
      <c r="AE92" s="8"/>
      <c r="AF92" s="44"/>
      <c r="AG92" s="44"/>
      <c r="AH92" s="43" t="s">
        <v>38</v>
      </c>
      <c r="AI92" s="44"/>
      <c r="AJ92" s="44"/>
      <c r="AL92">
        <f t="shared" si="18"/>
        <v>0</v>
      </c>
      <c r="AM92">
        <f t="shared" si="19"/>
        <v>4</v>
      </c>
      <c r="AN92">
        <f t="shared" si="20"/>
        <v>5</v>
      </c>
      <c r="AO92">
        <f t="shared" si="21"/>
        <v>0</v>
      </c>
      <c r="AP92">
        <f t="shared" si="22"/>
        <v>0</v>
      </c>
      <c r="AQ92">
        <f t="shared" si="23"/>
        <v>4</v>
      </c>
      <c r="AS92">
        <v>4132</v>
      </c>
      <c r="AT92" t="s">
        <v>363</v>
      </c>
    </row>
    <row r="93" spans="1:46" ht="21" customHeight="1" thickBot="1">
      <c r="A93" s="70" t="s">
        <v>269</v>
      </c>
      <c r="B93" s="47" t="s">
        <v>278</v>
      </c>
      <c r="C93" s="71" t="s">
        <v>279</v>
      </c>
      <c r="D93" s="47">
        <v>3057766524</v>
      </c>
      <c r="E93" s="43">
        <v>16</v>
      </c>
      <c r="F93" s="45">
        <v>45689</v>
      </c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3" t="s">
        <v>38</v>
      </c>
      <c r="U93" s="44"/>
      <c r="V93" s="44"/>
      <c r="W93" s="44"/>
      <c r="X93" s="44"/>
      <c r="Y93" s="44"/>
      <c r="Z93" s="44"/>
      <c r="AA93" s="44"/>
      <c r="AB93" s="44"/>
      <c r="AC93" s="44"/>
      <c r="AD93" s="43" t="s">
        <v>39</v>
      </c>
      <c r="AE93" s="8"/>
      <c r="AF93" s="44"/>
      <c r="AG93" s="44"/>
      <c r="AH93" s="43" t="s">
        <v>38</v>
      </c>
      <c r="AI93" s="44"/>
      <c r="AJ93" s="44"/>
      <c r="AL93">
        <f t="shared" si="18"/>
        <v>0</v>
      </c>
      <c r="AM93">
        <f t="shared" si="19"/>
        <v>3</v>
      </c>
      <c r="AN93">
        <f t="shared" si="20"/>
        <v>4</v>
      </c>
      <c r="AO93">
        <f t="shared" si="21"/>
        <v>0</v>
      </c>
      <c r="AP93">
        <f t="shared" si="22"/>
        <v>0</v>
      </c>
      <c r="AQ93">
        <f t="shared" si="23"/>
        <v>4</v>
      </c>
      <c r="AS93">
        <v>4132</v>
      </c>
      <c r="AT93" t="s">
        <v>363</v>
      </c>
    </row>
    <row r="94" spans="1:46" ht="21" customHeight="1" thickBot="1">
      <c r="A94" s="70" t="s">
        <v>280</v>
      </c>
      <c r="B94" s="47" t="s">
        <v>281</v>
      </c>
      <c r="C94" s="72" t="s">
        <v>282</v>
      </c>
      <c r="D94" s="53">
        <v>3146961943</v>
      </c>
      <c r="E94" s="43">
        <v>11</v>
      </c>
      <c r="F94" s="45">
        <v>44197</v>
      </c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3" t="s">
        <v>94</v>
      </c>
      <c r="U94" s="44"/>
      <c r="V94" s="44"/>
      <c r="W94" s="44"/>
      <c r="X94" s="44"/>
      <c r="Y94" s="44"/>
      <c r="Z94" s="44"/>
      <c r="AA94" s="47" t="s">
        <v>94</v>
      </c>
      <c r="AB94" s="44"/>
      <c r="AC94" s="44"/>
      <c r="AD94" s="43" t="s">
        <v>39</v>
      </c>
      <c r="AE94" s="8"/>
      <c r="AF94" s="44"/>
      <c r="AG94" s="44"/>
      <c r="AH94" s="44"/>
      <c r="AI94" s="43" t="s">
        <v>94</v>
      </c>
      <c r="AJ94" s="44"/>
      <c r="AL94">
        <f t="shared" si="18"/>
        <v>0</v>
      </c>
      <c r="AM94">
        <f t="shared" si="19"/>
        <v>3</v>
      </c>
      <c r="AN94">
        <f t="shared" si="20"/>
        <v>4</v>
      </c>
      <c r="AO94">
        <f t="shared" si="21"/>
        <v>1</v>
      </c>
      <c r="AP94">
        <f t="shared" si="22"/>
        <v>0</v>
      </c>
      <c r="AQ94">
        <f t="shared" si="23"/>
        <v>5</v>
      </c>
      <c r="AS94">
        <v>4132</v>
      </c>
      <c r="AT94" t="s">
        <v>363</v>
      </c>
    </row>
    <row r="95" spans="1:46" ht="21" customHeight="1" thickBot="1">
      <c r="A95" s="70" t="s">
        <v>280</v>
      </c>
      <c r="B95" s="47" t="s">
        <v>283</v>
      </c>
      <c r="C95" s="71" t="s">
        <v>284</v>
      </c>
      <c r="D95" s="53">
        <v>3113079732</v>
      </c>
      <c r="E95" s="43">
        <v>32</v>
      </c>
      <c r="F95" s="45">
        <v>43221</v>
      </c>
      <c r="G95" s="44"/>
      <c r="H95" s="44"/>
      <c r="I95" s="44"/>
      <c r="J95" s="43" t="s">
        <v>94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7" t="s">
        <v>94</v>
      </c>
      <c r="AB95" s="44"/>
      <c r="AC95" s="44"/>
      <c r="AD95" s="43" t="s">
        <v>39</v>
      </c>
      <c r="AE95" s="8"/>
      <c r="AF95" s="44"/>
      <c r="AG95" s="43" t="s">
        <v>94</v>
      </c>
      <c r="AH95" s="44"/>
      <c r="AI95" s="44"/>
      <c r="AJ95" s="44"/>
      <c r="AL95">
        <f t="shared" si="18"/>
        <v>4</v>
      </c>
      <c r="AM95">
        <f t="shared" si="19"/>
        <v>0</v>
      </c>
      <c r="AN95">
        <f t="shared" si="20"/>
        <v>1</v>
      </c>
      <c r="AO95">
        <f t="shared" si="21"/>
        <v>1</v>
      </c>
      <c r="AP95">
        <f t="shared" si="22"/>
        <v>0</v>
      </c>
      <c r="AQ95">
        <f t="shared" si="23"/>
        <v>3</v>
      </c>
      <c r="AS95">
        <v>4132</v>
      </c>
      <c r="AT95" t="s">
        <v>363</v>
      </c>
    </row>
    <row r="96" spans="1:46" ht="21" customHeight="1" thickBot="1">
      <c r="A96" s="70" t="s">
        <v>280</v>
      </c>
      <c r="B96" s="47" t="s">
        <v>285</v>
      </c>
      <c r="C96" s="71" t="s">
        <v>286</v>
      </c>
      <c r="D96" s="53">
        <v>3185474872</v>
      </c>
      <c r="E96" s="43">
        <v>5</v>
      </c>
      <c r="F96" s="45">
        <v>44531</v>
      </c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3" t="s">
        <v>94</v>
      </c>
      <c r="U96" s="44"/>
      <c r="V96" s="44"/>
      <c r="W96" s="44"/>
      <c r="X96" s="44"/>
      <c r="Y96" s="44"/>
      <c r="Z96" s="44"/>
      <c r="AA96" s="47" t="s">
        <v>94</v>
      </c>
      <c r="AB96" s="44"/>
      <c r="AC96" s="44"/>
      <c r="AD96" s="43" t="s">
        <v>65</v>
      </c>
      <c r="AE96" s="8"/>
      <c r="AF96" s="44"/>
      <c r="AG96" s="43" t="s">
        <v>94</v>
      </c>
      <c r="AH96" s="44"/>
      <c r="AI96" s="44"/>
      <c r="AJ96" s="44"/>
      <c r="AL96">
        <f t="shared" ref="AL96:AL159" si="24">IFERROR(CHOOSE(MATCH("X",G96:Q96,0),1,2,3,4,4,4,4,4,4,4,5,6),0)</f>
        <v>0</v>
      </c>
      <c r="AM96">
        <f t="shared" ref="AM96:AM159" si="25">IFERROR(MATCH("X",R96:U96,0),0)</f>
        <v>3</v>
      </c>
      <c r="AN96">
        <f t="shared" ref="AN96:AN159" si="26">IF(AL96&gt;0,1,IF(AM96&gt;0,AM96+1,""))</f>
        <v>4</v>
      </c>
      <c r="AO96">
        <f t="shared" ref="AO96:AO159" si="27">COUNTIF(V96:AC96,"X")</f>
        <v>1</v>
      </c>
      <c r="AP96">
        <f t="shared" ref="AP96:AP159" si="28">IF(AD96="SI",1,0)</f>
        <v>1</v>
      </c>
      <c r="AQ96">
        <f t="shared" ref="AQ96:AQ159" si="29">IFERROR(MATCH("X",AE96:AJ96,0),0)</f>
        <v>3</v>
      </c>
      <c r="AS96">
        <v>4132</v>
      </c>
      <c r="AT96" t="s">
        <v>363</v>
      </c>
    </row>
    <row r="97" spans="1:46" ht="21" customHeight="1" thickBot="1">
      <c r="A97" s="70" t="s">
        <v>280</v>
      </c>
      <c r="B97" s="47" t="s">
        <v>287</v>
      </c>
      <c r="C97" s="71" t="s">
        <v>288</v>
      </c>
      <c r="D97" s="53">
        <v>3007722953</v>
      </c>
      <c r="E97" s="43">
        <v>6</v>
      </c>
      <c r="F97" s="45">
        <v>45292</v>
      </c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3" t="s">
        <v>94</v>
      </c>
      <c r="U97" s="44"/>
      <c r="V97" s="44"/>
      <c r="W97" s="44"/>
      <c r="X97" s="44"/>
      <c r="Y97" s="44"/>
      <c r="Z97" s="44"/>
      <c r="AA97" s="47" t="s">
        <v>94</v>
      </c>
      <c r="AB97" s="44"/>
      <c r="AC97" s="44"/>
      <c r="AD97" s="43" t="s">
        <v>39</v>
      </c>
      <c r="AE97" s="8"/>
      <c r="AF97" s="44"/>
      <c r="AG97" s="44"/>
      <c r="AH97" s="43" t="s">
        <v>94</v>
      </c>
      <c r="AI97" s="44"/>
      <c r="AJ97" s="44"/>
      <c r="AL97">
        <f t="shared" si="24"/>
        <v>0</v>
      </c>
      <c r="AM97">
        <f t="shared" si="25"/>
        <v>3</v>
      </c>
      <c r="AN97">
        <f t="shared" si="26"/>
        <v>4</v>
      </c>
      <c r="AO97">
        <f t="shared" si="27"/>
        <v>1</v>
      </c>
      <c r="AP97">
        <f t="shared" si="28"/>
        <v>0</v>
      </c>
      <c r="AQ97">
        <f t="shared" si="29"/>
        <v>4</v>
      </c>
      <c r="AS97">
        <v>4132</v>
      </c>
      <c r="AT97" t="s">
        <v>363</v>
      </c>
    </row>
    <row r="98" spans="1:46" ht="21" customHeight="1" thickBot="1">
      <c r="A98" s="70" t="s">
        <v>280</v>
      </c>
      <c r="B98" s="47" t="s">
        <v>289</v>
      </c>
      <c r="C98" s="71" t="s">
        <v>290</v>
      </c>
      <c r="D98" s="53">
        <v>3011959397</v>
      </c>
      <c r="E98" s="43">
        <v>4</v>
      </c>
      <c r="F98" s="45">
        <v>45689</v>
      </c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3" t="s">
        <v>94</v>
      </c>
      <c r="U98" s="44"/>
      <c r="V98" s="44"/>
      <c r="W98" s="44"/>
      <c r="X98" s="44"/>
      <c r="Y98" s="44"/>
      <c r="Z98" s="44"/>
      <c r="AA98" s="47" t="s">
        <v>94</v>
      </c>
      <c r="AB98" s="44"/>
      <c r="AC98" s="44"/>
      <c r="AD98" s="43" t="s">
        <v>65</v>
      </c>
      <c r="AE98" s="8"/>
      <c r="AF98" s="44"/>
      <c r="AG98" s="44"/>
      <c r="AH98" s="44"/>
      <c r="AI98" s="43" t="s">
        <v>94</v>
      </c>
      <c r="AJ98" s="44"/>
      <c r="AL98">
        <f t="shared" si="24"/>
        <v>0</v>
      </c>
      <c r="AM98">
        <f t="shared" si="25"/>
        <v>3</v>
      </c>
      <c r="AN98">
        <f t="shared" si="26"/>
        <v>4</v>
      </c>
      <c r="AO98">
        <f t="shared" si="27"/>
        <v>1</v>
      </c>
      <c r="AP98">
        <f t="shared" si="28"/>
        <v>1</v>
      </c>
      <c r="AQ98">
        <f t="shared" si="29"/>
        <v>5</v>
      </c>
      <c r="AS98">
        <v>4132</v>
      </c>
      <c r="AT98" t="s">
        <v>363</v>
      </c>
    </row>
    <row r="99" spans="1:46" ht="21" customHeight="1" thickBot="1">
      <c r="A99" s="70" t="s">
        <v>291</v>
      </c>
      <c r="B99" s="47" t="s">
        <v>292</v>
      </c>
      <c r="C99" s="73" t="s">
        <v>293</v>
      </c>
      <c r="D99" s="43">
        <v>3128983329</v>
      </c>
      <c r="E99" s="43">
        <v>13</v>
      </c>
      <c r="F99" s="45">
        <v>43922</v>
      </c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3" t="s">
        <v>38</v>
      </c>
      <c r="V99" s="43" t="s">
        <v>38</v>
      </c>
      <c r="W99" s="43" t="s">
        <v>38</v>
      </c>
      <c r="X99" s="44"/>
      <c r="Y99" s="44"/>
      <c r="Z99" s="44"/>
      <c r="AA99" s="43" t="s">
        <v>38</v>
      </c>
      <c r="AB99" s="43" t="s">
        <v>38</v>
      </c>
      <c r="AC99" s="43" t="s">
        <v>38</v>
      </c>
      <c r="AD99" s="43" t="s">
        <v>65</v>
      </c>
      <c r="AE99" s="8"/>
      <c r="AF99" s="44"/>
      <c r="AG99" s="44"/>
      <c r="AH99" s="43" t="s">
        <v>38</v>
      </c>
      <c r="AI99" s="44"/>
      <c r="AJ99" s="44"/>
      <c r="AL99">
        <f t="shared" si="24"/>
        <v>0</v>
      </c>
      <c r="AM99">
        <f t="shared" si="25"/>
        <v>4</v>
      </c>
      <c r="AN99">
        <f t="shared" si="26"/>
        <v>5</v>
      </c>
      <c r="AO99">
        <f t="shared" si="27"/>
        <v>5</v>
      </c>
      <c r="AP99">
        <f t="shared" si="28"/>
        <v>1</v>
      </c>
      <c r="AQ99">
        <f t="shared" si="29"/>
        <v>4</v>
      </c>
      <c r="AS99">
        <v>4132</v>
      </c>
      <c r="AT99" t="s">
        <v>363</v>
      </c>
    </row>
    <row r="100" spans="1:46" ht="21" customHeight="1" thickBot="1">
      <c r="A100" s="70" t="s">
        <v>291</v>
      </c>
      <c r="B100" s="47" t="s">
        <v>294</v>
      </c>
      <c r="C100" s="73" t="s">
        <v>295</v>
      </c>
      <c r="D100" s="43">
        <v>3104290071</v>
      </c>
      <c r="E100" s="43">
        <v>11</v>
      </c>
      <c r="F100" s="45">
        <v>43983</v>
      </c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3" t="s">
        <v>38</v>
      </c>
      <c r="V100" s="43" t="s">
        <v>38</v>
      </c>
      <c r="W100" s="44"/>
      <c r="X100" s="44"/>
      <c r="Y100" s="44"/>
      <c r="Z100" s="43" t="s">
        <v>38</v>
      </c>
      <c r="AA100" s="43" t="s">
        <v>38</v>
      </c>
      <c r="AB100" s="43" t="s">
        <v>38</v>
      </c>
      <c r="AC100" s="43" t="s">
        <v>38</v>
      </c>
      <c r="AD100" s="43" t="s">
        <v>65</v>
      </c>
      <c r="AE100" s="8"/>
      <c r="AF100" s="44"/>
      <c r="AG100" s="44"/>
      <c r="AH100" s="43" t="s">
        <v>38</v>
      </c>
      <c r="AI100" s="43" t="s">
        <v>38</v>
      </c>
      <c r="AJ100" s="44"/>
      <c r="AL100">
        <f t="shared" si="24"/>
        <v>0</v>
      </c>
      <c r="AM100">
        <f t="shared" si="25"/>
        <v>4</v>
      </c>
      <c r="AN100">
        <f t="shared" si="26"/>
        <v>5</v>
      </c>
      <c r="AO100">
        <f t="shared" si="27"/>
        <v>5</v>
      </c>
      <c r="AP100">
        <f t="shared" si="28"/>
        <v>1</v>
      </c>
      <c r="AQ100">
        <f t="shared" si="29"/>
        <v>4</v>
      </c>
      <c r="AS100">
        <v>4132</v>
      </c>
      <c r="AT100" t="s">
        <v>363</v>
      </c>
    </row>
    <row r="101" spans="1:46" ht="21" customHeight="1" thickBot="1">
      <c r="A101" s="70" t="s">
        <v>291</v>
      </c>
      <c r="B101" s="47" t="s">
        <v>296</v>
      </c>
      <c r="C101" s="73" t="s">
        <v>297</v>
      </c>
      <c r="D101" s="43">
        <v>3127662393</v>
      </c>
      <c r="E101" s="43">
        <v>10</v>
      </c>
      <c r="F101" s="45">
        <v>40452</v>
      </c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3" t="s">
        <v>38</v>
      </c>
      <c r="V101" s="43" t="s">
        <v>38</v>
      </c>
      <c r="W101" s="44"/>
      <c r="X101" s="44"/>
      <c r="Y101" s="44"/>
      <c r="Z101" s="43" t="s">
        <v>38</v>
      </c>
      <c r="AA101" s="43" t="s">
        <v>38</v>
      </c>
      <c r="AB101" s="43" t="s">
        <v>38</v>
      </c>
      <c r="AC101" s="43" t="s">
        <v>38</v>
      </c>
      <c r="AD101" s="43" t="s">
        <v>65</v>
      </c>
      <c r="AE101" s="8"/>
      <c r="AF101" s="44"/>
      <c r="AG101" s="44"/>
      <c r="AH101" s="44"/>
      <c r="AI101" s="43" t="s">
        <v>38</v>
      </c>
      <c r="AJ101" s="44"/>
      <c r="AL101">
        <f t="shared" si="24"/>
        <v>0</v>
      </c>
      <c r="AM101">
        <f t="shared" si="25"/>
        <v>4</v>
      </c>
      <c r="AN101">
        <f t="shared" si="26"/>
        <v>5</v>
      </c>
      <c r="AO101">
        <f t="shared" si="27"/>
        <v>5</v>
      </c>
      <c r="AP101">
        <f t="shared" si="28"/>
        <v>1</v>
      </c>
      <c r="AQ101">
        <f t="shared" si="29"/>
        <v>5</v>
      </c>
      <c r="AS101">
        <v>4132</v>
      </c>
      <c r="AT101" t="s">
        <v>363</v>
      </c>
    </row>
    <row r="102" spans="1:46" ht="21" customHeight="1" thickBot="1">
      <c r="A102" s="70" t="s">
        <v>291</v>
      </c>
      <c r="B102" s="47" t="s">
        <v>298</v>
      </c>
      <c r="C102" s="73" t="s">
        <v>299</v>
      </c>
      <c r="D102" s="43">
        <v>3146845567</v>
      </c>
      <c r="E102" s="43">
        <v>5</v>
      </c>
      <c r="F102" s="45">
        <v>44044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3" t="s">
        <v>38</v>
      </c>
      <c r="V102" s="43" t="s">
        <v>38</v>
      </c>
      <c r="W102" s="43" t="s">
        <v>38</v>
      </c>
      <c r="X102" s="43" t="s">
        <v>38</v>
      </c>
      <c r="Y102" s="43" t="s">
        <v>38</v>
      </c>
      <c r="Z102" s="43" t="s">
        <v>38</v>
      </c>
      <c r="AA102" s="44"/>
      <c r="AB102" s="44"/>
      <c r="AC102" s="44"/>
      <c r="AD102" s="43" t="s">
        <v>65</v>
      </c>
      <c r="AE102" s="8"/>
      <c r="AF102" s="44"/>
      <c r="AG102" s="44"/>
      <c r="AH102" s="43" t="s">
        <v>38</v>
      </c>
      <c r="AI102" s="44"/>
      <c r="AJ102" s="44"/>
      <c r="AL102">
        <f t="shared" si="24"/>
        <v>0</v>
      </c>
      <c r="AM102">
        <f t="shared" si="25"/>
        <v>4</v>
      </c>
      <c r="AN102">
        <f t="shared" si="26"/>
        <v>5</v>
      </c>
      <c r="AO102">
        <f t="shared" si="27"/>
        <v>5</v>
      </c>
      <c r="AP102">
        <f t="shared" si="28"/>
        <v>1</v>
      </c>
      <c r="AQ102">
        <f t="shared" si="29"/>
        <v>4</v>
      </c>
      <c r="AS102">
        <v>4132</v>
      </c>
      <c r="AT102" t="s">
        <v>363</v>
      </c>
    </row>
    <row r="103" spans="1:46" ht="21" customHeight="1" thickBot="1">
      <c r="A103" s="70" t="s">
        <v>300</v>
      </c>
      <c r="B103" s="47" t="s">
        <v>301</v>
      </c>
      <c r="C103" s="52" t="s">
        <v>302</v>
      </c>
      <c r="D103" s="53">
        <v>3155724367</v>
      </c>
      <c r="E103" s="43">
        <v>12</v>
      </c>
      <c r="F103" s="45">
        <v>45323</v>
      </c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3" t="s">
        <v>38</v>
      </c>
      <c r="V103" s="43" t="s">
        <v>38</v>
      </c>
      <c r="W103" s="43" t="s">
        <v>38</v>
      </c>
      <c r="X103" s="43" t="s">
        <v>38</v>
      </c>
      <c r="Y103" s="43" t="s">
        <v>38</v>
      </c>
      <c r="Z103" s="43" t="s">
        <v>38</v>
      </c>
      <c r="AA103" s="43" t="s">
        <v>38</v>
      </c>
      <c r="AB103" s="43" t="s">
        <v>38</v>
      </c>
      <c r="AC103" s="43" t="s">
        <v>38</v>
      </c>
      <c r="AD103" s="43" t="s">
        <v>65</v>
      </c>
      <c r="AE103" s="8"/>
      <c r="AF103" s="44"/>
      <c r="AG103" s="44"/>
      <c r="AH103" s="43" t="s">
        <v>38</v>
      </c>
      <c r="AI103" s="44"/>
      <c r="AJ103" s="44"/>
      <c r="AL103">
        <f t="shared" si="24"/>
        <v>0</v>
      </c>
      <c r="AM103">
        <f t="shared" si="25"/>
        <v>4</v>
      </c>
      <c r="AN103">
        <f t="shared" si="26"/>
        <v>5</v>
      </c>
      <c r="AO103">
        <f t="shared" si="27"/>
        <v>8</v>
      </c>
      <c r="AP103">
        <f t="shared" si="28"/>
        <v>1</v>
      </c>
      <c r="AQ103">
        <f t="shared" si="29"/>
        <v>4</v>
      </c>
      <c r="AS103">
        <v>4132</v>
      </c>
      <c r="AT103" t="s">
        <v>363</v>
      </c>
    </row>
    <row r="104" spans="1:46" ht="21" customHeight="1" thickBot="1">
      <c r="A104" s="70" t="s">
        <v>300</v>
      </c>
      <c r="B104" s="47" t="s">
        <v>303</v>
      </c>
      <c r="C104" s="71" t="s">
        <v>304</v>
      </c>
      <c r="D104" s="53">
        <v>3147937869</v>
      </c>
      <c r="E104" s="43">
        <v>9</v>
      </c>
      <c r="F104" s="45">
        <v>45323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3" t="s">
        <v>38</v>
      </c>
      <c r="U104" s="44"/>
      <c r="V104" s="44"/>
      <c r="W104" s="44"/>
      <c r="X104" s="43" t="s">
        <v>38</v>
      </c>
      <c r="Y104" s="43" t="s">
        <v>38</v>
      </c>
      <c r="Z104" s="43" t="s">
        <v>38</v>
      </c>
      <c r="AA104" s="43" t="s">
        <v>38</v>
      </c>
      <c r="AB104" s="44"/>
      <c r="AC104" s="44"/>
      <c r="AD104" s="43" t="s">
        <v>65</v>
      </c>
      <c r="AE104" s="8"/>
      <c r="AF104" s="44"/>
      <c r="AG104" s="44"/>
      <c r="AH104" s="43" t="s">
        <v>38</v>
      </c>
      <c r="AI104" s="44"/>
      <c r="AJ104" s="44"/>
      <c r="AL104">
        <f t="shared" si="24"/>
        <v>0</v>
      </c>
      <c r="AM104">
        <f t="shared" si="25"/>
        <v>3</v>
      </c>
      <c r="AN104">
        <f t="shared" si="26"/>
        <v>4</v>
      </c>
      <c r="AO104">
        <f t="shared" si="27"/>
        <v>4</v>
      </c>
      <c r="AP104">
        <f t="shared" si="28"/>
        <v>1</v>
      </c>
      <c r="AQ104">
        <f t="shared" si="29"/>
        <v>4</v>
      </c>
      <c r="AS104">
        <v>4132</v>
      </c>
      <c r="AT104" t="s">
        <v>363</v>
      </c>
    </row>
    <row r="105" spans="1:46" ht="21" customHeight="1" thickBot="1">
      <c r="A105" s="70" t="s">
        <v>300</v>
      </c>
      <c r="B105" s="47" t="s">
        <v>305</v>
      </c>
      <c r="C105" s="71" t="s">
        <v>306</v>
      </c>
      <c r="D105" s="53">
        <v>3175850352</v>
      </c>
      <c r="E105" s="43">
        <v>4</v>
      </c>
      <c r="F105" s="45">
        <v>45689</v>
      </c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3" t="s">
        <v>38</v>
      </c>
      <c r="U105" s="44"/>
      <c r="V105" s="44"/>
      <c r="W105" s="44"/>
      <c r="X105" s="43" t="s">
        <v>38</v>
      </c>
      <c r="Y105" s="43" t="s">
        <v>38</v>
      </c>
      <c r="Z105" s="43" t="s">
        <v>38</v>
      </c>
      <c r="AA105" s="43" t="s">
        <v>38</v>
      </c>
      <c r="AB105" s="44"/>
      <c r="AC105" s="44"/>
      <c r="AD105" s="43" t="s">
        <v>65</v>
      </c>
      <c r="AE105" s="8"/>
      <c r="AF105" s="44"/>
      <c r="AG105" s="43" t="s">
        <v>38</v>
      </c>
      <c r="AH105" s="44"/>
      <c r="AI105" s="44"/>
      <c r="AJ105" s="44"/>
      <c r="AL105">
        <f t="shared" si="24"/>
        <v>0</v>
      </c>
      <c r="AM105">
        <f t="shared" si="25"/>
        <v>3</v>
      </c>
      <c r="AN105">
        <f t="shared" si="26"/>
        <v>4</v>
      </c>
      <c r="AO105">
        <f t="shared" si="27"/>
        <v>4</v>
      </c>
      <c r="AP105">
        <f t="shared" si="28"/>
        <v>1</v>
      </c>
      <c r="AQ105">
        <f t="shared" si="29"/>
        <v>3</v>
      </c>
      <c r="AS105">
        <v>4132</v>
      </c>
      <c r="AT105" t="s">
        <v>363</v>
      </c>
    </row>
    <row r="106" spans="1:46" ht="21" customHeight="1" thickBot="1">
      <c r="A106" s="70" t="s">
        <v>300</v>
      </c>
      <c r="B106" s="47" t="s">
        <v>307</v>
      </c>
      <c r="C106" s="71" t="s">
        <v>308</v>
      </c>
      <c r="D106" s="53">
        <v>3178878776</v>
      </c>
      <c r="E106" s="43">
        <v>13</v>
      </c>
      <c r="F106" s="45">
        <v>45413</v>
      </c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3" t="s">
        <v>38</v>
      </c>
      <c r="U106" s="44"/>
      <c r="V106" s="44"/>
      <c r="W106" s="44"/>
      <c r="X106" s="43" t="s">
        <v>38</v>
      </c>
      <c r="Y106" s="43" t="s">
        <v>38</v>
      </c>
      <c r="Z106" s="43" t="s">
        <v>38</v>
      </c>
      <c r="AA106" s="43" t="s">
        <v>38</v>
      </c>
      <c r="AB106" s="44"/>
      <c r="AC106" s="44"/>
      <c r="AD106" s="43" t="s">
        <v>65</v>
      </c>
      <c r="AE106" s="8"/>
      <c r="AF106" s="44"/>
      <c r="AG106" s="44"/>
      <c r="AH106" s="44"/>
      <c r="AI106" s="43" t="s">
        <v>38</v>
      </c>
      <c r="AJ106" s="44"/>
      <c r="AL106">
        <f t="shared" si="24"/>
        <v>0</v>
      </c>
      <c r="AM106">
        <f t="shared" si="25"/>
        <v>3</v>
      </c>
      <c r="AN106">
        <f t="shared" si="26"/>
        <v>4</v>
      </c>
      <c r="AO106">
        <f t="shared" si="27"/>
        <v>4</v>
      </c>
      <c r="AP106">
        <f t="shared" si="28"/>
        <v>1</v>
      </c>
      <c r="AQ106">
        <f t="shared" si="29"/>
        <v>5</v>
      </c>
      <c r="AS106">
        <v>4132</v>
      </c>
      <c r="AT106" t="s">
        <v>363</v>
      </c>
    </row>
    <row r="107" spans="1:46" ht="21" customHeight="1" thickBot="1">
      <c r="A107" s="70" t="s">
        <v>300</v>
      </c>
      <c r="B107" s="47" t="s">
        <v>309</v>
      </c>
      <c r="C107" s="71" t="s">
        <v>310</v>
      </c>
      <c r="D107" s="53">
        <v>3014198821</v>
      </c>
      <c r="E107" s="43">
        <v>2</v>
      </c>
      <c r="F107" s="45">
        <v>45689</v>
      </c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3" t="s">
        <v>38</v>
      </c>
      <c r="U107" s="44"/>
      <c r="V107" s="44"/>
      <c r="W107" s="44"/>
      <c r="X107" s="43" t="s">
        <v>38</v>
      </c>
      <c r="Y107" s="43" t="s">
        <v>38</v>
      </c>
      <c r="Z107" s="43" t="s">
        <v>38</v>
      </c>
      <c r="AA107" s="43" t="s">
        <v>38</v>
      </c>
      <c r="AB107" s="44"/>
      <c r="AC107" s="44"/>
      <c r="AD107" s="43" t="s">
        <v>39</v>
      </c>
      <c r="AE107" s="8"/>
      <c r="AF107" s="44"/>
      <c r="AG107" s="43" t="s">
        <v>38</v>
      </c>
      <c r="AH107" s="44"/>
      <c r="AI107" s="44"/>
      <c r="AJ107" s="44"/>
      <c r="AL107">
        <f t="shared" si="24"/>
        <v>0</v>
      </c>
      <c r="AM107">
        <f t="shared" si="25"/>
        <v>3</v>
      </c>
      <c r="AN107">
        <f t="shared" si="26"/>
        <v>4</v>
      </c>
      <c r="AO107">
        <f t="shared" si="27"/>
        <v>4</v>
      </c>
      <c r="AP107">
        <f t="shared" si="28"/>
        <v>0</v>
      </c>
      <c r="AQ107">
        <f t="shared" si="29"/>
        <v>3</v>
      </c>
      <c r="AS107">
        <v>4132</v>
      </c>
      <c r="AT107" t="s">
        <v>363</v>
      </c>
    </row>
    <row r="108" spans="1:46" ht="21" customHeight="1" thickBot="1">
      <c r="A108" s="70" t="s">
        <v>300</v>
      </c>
      <c r="B108" s="47" t="s">
        <v>311</v>
      </c>
      <c r="C108" s="71" t="s">
        <v>312</v>
      </c>
      <c r="D108" s="53">
        <v>3214843999</v>
      </c>
      <c r="E108" s="43">
        <v>11</v>
      </c>
      <c r="F108" s="45">
        <v>45323</v>
      </c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3" t="s">
        <v>38</v>
      </c>
      <c r="V108" s="44"/>
      <c r="W108" s="44"/>
      <c r="X108" s="43" t="s">
        <v>38</v>
      </c>
      <c r="Y108" s="43" t="s">
        <v>38</v>
      </c>
      <c r="Z108" s="43" t="s">
        <v>38</v>
      </c>
      <c r="AA108" s="43" t="s">
        <v>38</v>
      </c>
      <c r="AB108" s="44"/>
      <c r="AC108" s="44"/>
      <c r="AD108" s="43" t="s">
        <v>65</v>
      </c>
      <c r="AE108" s="8"/>
      <c r="AF108" s="44"/>
      <c r="AG108" s="44"/>
      <c r="AH108" s="43" t="s">
        <v>38</v>
      </c>
      <c r="AI108" s="43" t="s">
        <v>38</v>
      </c>
      <c r="AJ108" s="44"/>
      <c r="AL108">
        <f t="shared" si="24"/>
        <v>0</v>
      </c>
      <c r="AM108">
        <f t="shared" si="25"/>
        <v>4</v>
      </c>
      <c r="AN108">
        <f t="shared" si="26"/>
        <v>5</v>
      </c>
      <c r="AO108">
        <f t="shared" si="27"/>
        <v>4</v>
      </c>
      <c r="AP108">
        <f t="shared" si="28"/>
        <v>1</v>
      </c>
      <c r="AQ108">
        <f t="shared" si="29"/>
        <v>4</v>
      </c>
      <c r="AS108">
        <v>4132</v>
      </c>
      <c r="AT108" t="s">
        <v>363</v>
      </c>
    </row>
    <row r="109" spans="1:46" ht="21" customHeight="1" thickBot="1">
      <c r="A109" s="70" t="s">
        <v>300</v>
      </c>
      <c r="B109" s="47" t="s">
        <v>313</v>
      </c>
      <c r="C109" s="71" t="s">
        <v>314</v>
      </c>
      <c r="D109" s="53">
        <v>3157625896</v>
      </c>
      <c r="E109" s="43">
        <v>9</v>
      </c>
      <c r="F109" s="45">
        <v>45323</v>
      </c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3" t="s">
        <v>38</v>
      </c>
      <c r="V109" s="44"/>
      <c r="W109" s="44"/>
      <c r="X109" s="44"/>
      <c r="Y109" s="43" t="s">
        <v>38</v>
      </c>
      <c r="Z109" s="43" t="s">
        <v>38</v>
      </c>
      <c r="AA109" s="43" t="s">
        <v>38</v>
      </c>
      <c r="AB109" s="44"/>
      <c r="AC109" s="44"/>
      <c r="AD109" s="43" t="s">
        <v>65</v>
      </c>
      <c r="AE109" s="8"/>
      <c r="AF109" s="44"/>
      <c r="AG109" s="44"/>
      <c r="AH109" s="44"/>
      <c r="AI109" s="43" t="s">
        <v>38</v>
      </c>
      <c r="AJ109" s="44"/>
      <c r="AL109">
        <f t="shared" si="24"/>
        <v>0</v>
      </c>
      <c r="AM109">
        <f t="shared" si="25"/>
        <v>4</v>
      </c>
      <c r="AN109">
        <f t="shared" si="26"/>
        <v>5</v>
      </c>
      <c r="AO109">
        <f t="shared" si="27"/>
        <v>3</v>
      </c>
      <c r="AP109">
        <f t="shared" si="28"/>
        <v>1</v>
      </c>
      <c r="AQ109">
        <f t="shared" si="29"/>
        <v>5</v>
      </c>
      <c r="AS109">
        <v>4132</v>
      </c>
      <c r="AT109" t="s">
        <v>363</v>
      </c>
    </row>
    <row r="110" spans="1:46" ht="21" customHeight="1" thickBot="1">
      <c r="A110" s="70" t="s">
        <v>300</v>
      </c>
      <c r="B110" s="47" t="s">
        <v>315</v>
      </c>
      <c r="C110" s="71" t="s">
        <v>316</v>
      </c>
      <c r="D110" s="53">
        <v>3167413422</v>
      </c>
      <c r="E110" s="43">
        <v>12</v>
      </c>
      <c r="F110" s="45">
        <v>45323</v>
      </c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3" t="s">
        <v>38</v>
      </c>
      <c r="V110" s="44"/>
      <c r="W110" s="44"/>
      <c r="X110" s="43" t="s">
        <v>38</v>
      </c>
      <c r="Y110" s="43" t="s">
        <v>38</v>
      </c>
      <c r="Z110" s="43" t="s">
        <v>38</v>
      </c>
      <c r="AA110" s="43" t="s">
        <v>38</v>
      </c>
      <c r="AB110" s="44"/>
      <c r="AC110" s="44"/>
      <c r="AD110" s="43" t="s">
        <v>65</v>
      </c>
      <c r="AE110" s="8"/>
      <c r="AF110" s="44"/>
      <c r="AG110" s="44"/>
      <c r="AH110" s="44"/>
      <c r="AI110" s="43" t="s">
        <v>38</v>
      </c>
      <c r="AJ110" s="44"/>
      <c r="AL110">
        <f t="shared" si="24"/>
        <v>0</v>
      </c>
      <c r="AM110">
        <f t="shared" si="25"/>
        <v>4</v>
      </c>
      <c r="AN110">
        <f t="shared" si="26"/>
        <v>5</v>
      </c>
      <c r="AO110">
        <f t="shared" si="27"/>
        <v>4</v>
      </c>
      <c r="AP110">
        <f t="shared" si="28"/>
        <v>1</v>
      </c>
      <c r="AQ110">
        <f t="shared" si="29"/>
        <v>5</v>
      </c>
      <c r="AS110">
        <v>4132</v>
      </c>
      <c r="AT110" t="s">
        <v>363</v>
      </c>
    </row>
    <row r="111" spans="1:46" ht="21" customHeight="1" thickBot="1">
      <c r="A111" s="70" t="s">
        <v>300</v>
      </c>
      <c r="B111" s="47" t="s">
        <v>317</v>
      </c>
      <c r="C111" s="71" t="s">
        <v>318</v>
      </c>
      <c r="D111" s="53">
        <v>3185571577</v>
      </c>
      <c r="E111" s="43">
        <v>6</v>
      </c>
      <c r="F111" s="45">
        <v>45689</v>
      </c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3" t="s">
        <v>38</v>
      </c>
      <c r="U111" s="44"/>
      <c r="V111" s="44"/>
      <c r="W111" s="44"/>
      <c r="X111" s="43" t="s">
        <v>38</v>
      </c>
      <c r="Y111" s="43" t="s">
        <v>38</v>
      </c>
      <c r="Z111" s="43" t="s">
        <v>38</v>
      </c>
      <c r="AA111" s="43" t="s">
        <v>38</v>
      </c>
      <c r="AB111" s="44"/>
      <c r="AC111" s="44"/>
      <c r="AD111" s="43" t="s">
        <v>39</v>
      </c>
      <c r="AE111" s="8"/>
      <c r="AF111" s="44"/>
      <c r="AG111" s="43" t="s">
        <v>38</v>
      </c>
      <c r="AH111" s="44"/>
      <c r="AI111" s="44"/>
      <c r="AJ111" s="44"/>
      <c r="AL111">
        <f t="shared" si="24"/>
        <v>0</v>
      </c>
      <c r="AM111">
        <f t="shared" si="25"/>
        <v>3</v>
      </c>
      <c r="AN111">
        <f t="shared" si="26"/>
        <v>4</v>
      </c>
      <c r="AO111">
        <f t="shared" si="27"/>
        <v>4</v>
      </c>
      <c r="AP111">
        <f t="shared" si="28"/>
        <v>0</v>
      </c>
      <c r="AQ111">
        <f t="shared" si="29"/>
        <v>3</v>
      </c>
      <c r="AS111">
        <v>4132</v>
      </c>
      <c r="AT111" t="s">
        <v>363</v>
      </c>
    </row>
    <row r="112" spans="1:46" ht="21" customHeight="1" thickBot="1">
      <c r="A112" s="70" t="s">
        <v>319</v>
      </c>
      <c r="B112" s="47" t="s">
        <v>320</v>
      </c>
      <c r="C112" s="74" t="s">
        <v>321</v>
      </c>
      <c r="D112" s="43">
        <v>3117589822</v>
      </c>
      <c r="E112" s="43">
        <v>11</v>
      </c>
      <c r="F112" s="45">
        <v>41306</v>
      </c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3" t="s">
        <v>38</v>
      </c>
      <c r="V112" s="47" t="s">
        <v>38</v>
      </c>
      <c r="W112" s="47" t="s">
        <v>38</v>
      </c>
      <c r="X112" s="47" t="s">
        <v>38</v>
      </c>
      <c r="Y112" s="47" t="s">
        <v>38</v>
      </c>
      <c r="Z112" s="47" t="s">
        <v>38</v>
      </c>
      <c r="AA112" s="47" t="s">
        <v>38</v>
      </c>
      <c r="AB112" s="47" t="s">
        <v>38</v>
      </c>
      <c r="AC112" s="47" t="s">
        <v>38</v>
      </c>
      <c r="AD112" s="43" t="s">
        <v>65</v>
      </c>
      <c r="AE112" s="8"/>
      <c r="AF112" s="44"/>
      <c r="AG112" s="44"/>
      <c r="AH112" s="43" t="s">
        <v>38</v>
      </c>
      <c r="AI112" s="44"/>
      <c r="AJ112" s="44"/>
      <c r="AL112">
        <f t="shared" si="24"/>
        <v>0</v>
      </c>
      <c r="AM112">
        <f t="shared" si="25"/>
        <v>4</v>
      </c>
      <c r="AN112">
        <f t="shared" si="26"/>
        <v>5</v>
      </c>
      <c r="AO112">
        <f t="shared" si="27"/>
        <v>8</v>
      </c>
      <c r="AP112">
        <f t="shared" si="28"/>
        <v>1</v>
      </c>
      <c r="AQ112">
        <f t="shared" si="29"/>
        <v>4</v>
      </c>
      <c r="AS112">
        <v>4132</v>
      </c>
      <c r="AT112" t="s">
        <v>363</v>
      </c>
    </row>
    <row r="113" spans="1:46" ht="21" customHeight="1" thickBot="1">
      <c r="A113" s="70" t="s">
        <v>319</v>
      </c>
      <c r="B113" s="47" t="s">
        <v>322</v>
      </c>
      <c r="C113" s="74" t="s">
        <v>323</v>
      </c>
      <c r="D113" s="43">
        <v>3184459583</v>
      </c>
      <c r="E113" s="43">
        <v>8</v>
      </c>
      <c r="F113" s="45">
        <v>45323</v>
      </c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3" t="s">
        <v>38</v>
      </c>
      <c r="U113" s="44"/>
      <c r="V113" s="47" t="s">
        <v>38</v>
      </c>
      <c r="W113" s="47" t="s">
        <v>38</v>
      </c>
      <c r="X113" s="47" t="s">
        <v>38</v>
      </c>
      <c r="Y113" s="47" t="s">
        <v>38</v>
      </c>
      <c r="Z113" s="47" t="s">
        <v>38</v>
      </c>
      <c r="AA113" s="47" t="s">
        <v>38</v>
      </c>
      <c r="AB113" s="47" t="s">
        <v>38</v>
      </c>
      <c r="AC113" s="47" t="s">
        <v>38</v>
      </c>
      <c r="AD113" s="43" t="s">
        <v>65</v>
      </c>
      <c r="AE113" s="8"/>
      <c r="AF113" s="44"/>
      <c r="AG113" s="43" t="s">
        <v>38</v>
      </c>
      <c r="AH113" s="44"/>
      <c r="AI113" s="44"/>
      <c r="AJ113" s="44"/>
      <c r="AL113">
        <f t="shared" si="24"/>
        <v>0</v>
      </c>
      <c r="AM113">
        <f t="shared" si="25"/>
        <v>3</v>
      </c>
      <c r="AN113">
        <f t="shared" si="26"/>
        <v>4</v>
      </c>
      <c r="AO113">
        <f t="shared" si="27"/>
        <v>8</v>
      </c>
      <c r="AP113">
        <f t="shared" si="28"/>
        <v>1</v>
      </c>
      <c r="AQ113">
        <f t="shared" si="29"/>
        <v>3</v>
      </c>
      <c r="AS113">
        <v>4132</v>
      </c>
      <c r="AT113" t="s">
        <v>363</v>
      </c>
    </row>
    <row r="114" spans="1:46" ht="21" customHeight="1" thickBot="1">
      <c r="A114" s="70" t="s">
        <v>319</v>
      </c>
      <c r="B114" s="47" t="s">
        <v>324</v>
      </c>
      <c r="C114" s="74" t="s">
        <v>325</v>
      </c>
      <c r="D114" s="43">
        <v>3104154001</v>
      </c>
      <c r="E114" s="43">
        <v>9</v>
      </c>
      <c r="F114" s="45">
        <v>45323</v>
      </c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3" t="s">
        <v>38</v>
      </c>
      <c r="U114" s="44"/>
      <c r="V114" s="47" t="s">
        <v>38</v>
      </c>
      <c r="W114" s="47" t="s">
        <v>38</v>
      </c>
      <c r="X114" s="47" t="s">
        <v>38</v>
      </c>
      <c r="Y114" s="47" t="s">
        <v>38</v>
      </c>
      <c r="Z114" s="47" t="s">
        <v>38</v>
      </c>
      <c r="AA114" s="47" t="s">
        <v>38</v>
      </c>
      <c r="AB114" s="47" t="s">
        <v>38</v>
      </c>
      <c r="AC114" s="47" t="s">
        <v>38</v>
      </c>
      <c r="AD114" s="43" t="s">
        <v>65</v>
      </c>
      <c r="AE114" s="8"/>
      <c r="AF114" s="44"/>
      <c r="AG114" s="43" t="s">
        <v>38</v>
      </c>
      <c r="AH114" s="44"/>
      <c r="AI114" s="44"/>
      <c r="AJ114" s="44"/>
      <c r="AL114">
        <f t="shared" si="24"/>
        <v>0</v>
      </c>
      <c r="AM114">
        <f t="shared" si="25"/>
        <v>3</v>
      </c>
      <c r="AN114">
        <f t="shared" si="26"/>
        <v>4</v>
      </c>
      <c r="AO114">
        <f t="shared" si="27"/>
        <v>8</v>
      </c>
      <c r="AP114">
        <f t="shared" si="28"/>
        <v>1</v>
      </c>
      <c r="AQ114">
        <f t="shared" si="29"/>
        <v>3</v>
      </c>
      <c r="AS114">
        <v>4132</v>
      </c>
      <c r="AT114" t="s">
        <v>363</v>
      </c>
    </row>
    <row r="115" spans="1:46" ht="21" customHeight="1" thickBot="1">
      <c r="A115" s="70" t="s">
        <v>319</v>
      </c>
      <c r="B115" s="47" t="s">
        <v>326</v>
      </c>
      <c r="C115" s="71" t="s">
        <v>327</v>
      </c>
      <c r="D115" s="43">
        <v>3002334044</v>
      </c>
      <c r="E115" s="43">
        <v>5</v>
      </c>
      <c r="F115" s="45">
        <v>45689</v>
      </c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3" t="s">
        <v>38</v>
      </c>
      <c r="V115" s="47" t="s">
        <v>38</v>
      </c>
      <c r="W115" s="47" t="s">
        <v>38</v>
      </c>
      <c r="X115" s="47" t="s">
        <v>38</v>
      </c>
      <c r="Y115" s="47" t="s">
        <v>38</v>
      </c>
      <c r="Z115" s="47" t="s">
        <v>38</v>
      </c>
      <c r="AA115" s="47" t="s">
        <v>38</v>
      </c>
      <c r="AB115" s="47" t="s">
        <v>38</v>
      </c>
      <c r="AC115" s="47" t="s">
        <v>38</v>
      </c>
      <c r="AD115" s="43" t="s">
        <v>65</v>
      </c>
      <c r="AE115" s="8"/>
      <c r="AF115" s="44"/>
      <c r="AG115" s="44"/>
      <c r="AH115" s="44"/>
      <c r="AI115" s="43" t="s">
        <v>38</v>
      </c>
      <c r="AJ115" s="44"/>
      <c r="AL115">
        <f t="shared" si="24"/>
        <v>0</v>
      </c>
      <c r="AM115">
        <f t="shared" si="25"/>
        <v>4</v>
      </c>
      <c r="AN115">
        <f t="shared" si="26"/>
        <v>5</v>
      </c>
      <c r="AO115">
        <f t="shared" si="27"/>
        <v>8</v>
      </c>
      <c r="AP115">
        <f t="shared" si="28"/>
        <v>1</v>
      </c>
      <c r="AQ115">
        <f t="shared" si="29"/>
        <v>5</v>
      </c>
      <c r="AS115">
        <v>4132</v>
      </c>
      <c r="AT115" t="s">
        <v>363</v>
      </c>
    </row>
    <row r="116" spans="1:46" ht="21" customHeight="1" thickBot="1">
      <c r="A116" s="70" t="s">
        <v>319</v>
      </c>
      <c r="B116" s="47" t="s">
        <v>328</v>
      </c>
      <c r="C116" s="71" t="s">
        <v>329</v>
      </c>
      <c r="D116" s="43">
        <v>3006469561</v>
      </c>
      <c r="E116" s="43" t="s">
        <v>330</v>
      </c>
      <c r="F116" s="45">
        <v>45536</v>
      </c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3" t="s">
        <v>38</v>
      </c>
      <c r="U116" s="44"/>
      <c r="V116" s="47" t="s">
        <v>38</v>
      </c>
      <c r="W116" s="47" t="s">
        <v>38</v>
      </c>
      <c r="X116" s="47" t="s">
        <v>38</v>
      </c>
      <c r="Y116" s="47" t="s">
        <v>38</v>
      </c>
      <c r="Z116" s="47" t="s">
        <v>38</v>
      </c>
      <c r="AA116" s="47" t="s">
        <v>38</v>
      </c>
      <c r="AB116" s="47" t="s">
        <v>38</v>
      </c>
      <c r="AC116" s="47" t="s">
        <v>38</v>
      </c>
      <c r="AD116" s="43" t="s">
        <v>65</v>
      </c>
      <c r="AE116" s="8"/>
      <c r="AF116" s="44"/>
      <c r="AG116" s="43" t="s">
        <v>38</v>
      </c>
      <c r="AH116" s="44"/>
      <c r="AI116" s="44"/>
      <c r="AJ116" s="44"/>
      <c r="AL116">
        <f t="shared" si="24"/>
        <v>0</v>
      </c>
      <c r="AM116">
        <f t="shared" si="25"/>
        <v>3</v>
      </c>
      <c r="AN116">
        <f t="shared" si="26"/>
        <v>4</v>
      </c>
      <c r="AO116">
        <f t="shared" si="27"/>
        <v>8</v>
      </c>
      <c r="AP116">
        <f t="shared" si="28"/>
        <v>1</v>
      </c>
      <c r="AQ116">
        <f t="shared" si="29"/>
        <v>3</v>
      </c>
      <c r="AS116">
        <v>4132</v>
      </c>
      <c r="AT116" t="s">
        <v>363</v>
      </c>
    </row>
    <row r="117" spans="1:46" ht="21" customHeight="1" thickBot="1">
      <c r="A117" s="70" t="s">
        <v>331</v>
      </c>
      <c r="B117" s="47" t="s">
        <v>332</v>
      </c>
      <c r="C117" s="52" t="s">
        <v>333</v>
      </c>
      <c r="D117" s="53">
        <v>3233652585</v>
      </c>
      <c r="E117" s="43">
        <v>5</v>
      </c>
      <c r="F117" s="45">
        <v>45809</v>
      </c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3" t="s">
        <v>38</v>
      </c>
      <c r="U117" s="44"/>
      <c r="V117" s="43" t="s">
        <v>38</v>
      </c>
      <c r="W117" s="43" t="s">
        <v>38</v>
      </c>
      <c r="X117" s="43" t="s">
        <v>38</v>
      </c>
      <c r="Y117" s="43" t="s">
        <v>38</v>
      </c>
      <c r="Z117" s="43" t="s">
        <v>38</v>
      </c>
      <c r="AA117" s="43" t="s">
        <v>38</v>
      </c>
      <c r="AB117" s="43" t="s">
        <v>38</v>
      </c>
      <c r="AC117" s="43" t="s">
        <v>38</v>
      </c>
      <c r="AD117" s="43" t="s">
        <v>65</v>
      </c>
      <c r="AE117" s="8"/>
      <c r="AF117" s="44"/>
      <c r="AG117" s="43" t="s">
        <v>38</v>
      </c>
      <c r="AH117" s="44"/>
      <c r="AI117" s="44"/>
      <c r="AJ117" s="44"/>
      <c r="AL117">
        <f t="shared" si="24"/>
        <v>0</v>
      </c>
      <c r="AM117">
        <f t="shared" si="25"/>
        <v>3</v>
      </c>
      <c r="AN117">
        <f t="shared" si="26"/>
        <v>4</v>
      </c>
      <c r="AO117">
        <f t="shared" si="27"/>
        <v>8</v>
      </c>
      <c r="AP117">
        <f t="shared" si="28"/>
        <v>1</v>
      </c>
      <c r="AQ117">
        <f t="shared" si="29"/>
        <v>3</v>
      </c>
      <c r="AS117">
        <v>4132</v>
      </c>
      <c r="AT117" t="s">
        <v>363</v>
      </c>
    </row>
    <row r="118" spans="1:46" ht="21" customHeight="1" thickBot="1">
      <c r="A118" s="70" t="s">
        <v>331</v>
      </c>
      <c r="B118" s="47" t="s">
        <v>334</v>
      </c>
      <c r="C118" s="71" t="s">
        <v>335</v>
      </c>
      <c r="D118" s="53">
        <v>3177585980</v>
      </c>
      <c r="E118" s="43">
        <v>2</v>
      </c>
      <c r="F118" s="45">
        <v>45292</v>
      </c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3" t="s">
        <v>38</v>
      </c>
      <c r="U118" s="44"/>
      <c r="V118" s="43" t="s">
        <v>38</v>
      </c>
      <c r="W118" s="43" t="s">
        <v>38</v>
      </c>
      <c r="X118" s="44"/>
      <c r="Y118" s="44"/>
      <c r="Z118" s="44"/>
      <c r="AA118" s="43" t="s">
        <v>38</v>
      </c>
      <c r="AB118" s="43" t="s">
        <v>38</v>
      </c>
      <c r="AC118" s="43" t="s">
        <v>38</v>
      </c>
      <c r="AD118" s="43" t="s">
        <v>65</v>
      </c>
      <c r="AE118" s="8"/>
      <c r="AF118" s="44"/>
      <c r="AG118" s="43" t="s">
        <v>38</v>
      </c>
      <c r="AH118" s="44"/>
      <c r="AI118" s="44"/>
      <c r="AJ118" s="44"/>
      <c r="AL118">
        <f t="shared" si="24"/>
        <v>0</v>
      </c>
      <c r="AM118">
        <f t="shared" si="25"/>
        <v>3</v>
      </c>
      <c r="AN118">
        <f t="shared" si="26"/>
        <v>4</v>
      </c>
      <c r="AO118">
        <f t="shared" si="27"/>
        <v>5</v>
      </c>
      <c r="AP118">
        <f t="shared" si="28"/>
        <v>1</v>
      </c>
      <c r="AQ118">
        <f t="shared" si="29"/>
        <v>3</v>
      </c>
      <c r="AS118">
        <v>4132</v>
      </c>
      <c r="AT118" t="s">
        <v>363</v>
      </c>
    </row>
    <row r="119" spans="1:46" ht="21" customHeight="1" thickBot="1">
      <c r="A119" s="70" t="s">
        <v>336</v>
      </c>
      <c r="B119" s="47" t="s">
        <v>337</v>
      </c>
      <c r="C119" s="52" t="s">
        <v>338</v>
      </c>
      <c r="D119" s="53">
        <v>3182268407</v>
      </c>
      <c r="E119" s="43">
        <v>4</v>
      </c>
      <c r="F119" s="45">
        <v>45717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7" t="s">
        <v>94</v>
      </c>
      <c r="U119" s="6"/>
      <c r="V119" s="7" t="s">
        <v>94</v>
      </c>
      <c r="W119" s="7" t="s">
        <v>94</v>
      </c>
      <c r="X119" s="7" t="s">
        <v>94</v>
      </c>
      <c r="Y119" s="7" t="s">
        <v>94</v>
      </c>
      <c r="Z119" s="7" t="s">
        <v>94</v>
      </c>
      <c r="AA119" s="7" t="s">
        <v>94</v>
      </c>
      <c r="AB119" s="7" t="s">
        <v>94</v>
      </c>
      <c r="AC119" s="7" t="s">
        <v>94</v>
      </c>
      <c r="AD119" s="43" t="s">
        <v>65</v>
      </c>
      <c r="AE119" s="8"/>
      <c r="AF119" s="44"/>
      <c r="AG119" s="44"/>
      <c r="AH119" s="44"/>
      <c r="AI119" s="7" t="s">
        <v>94</v>
      </c>
      <c r="AJ119" s="44"/>
      <c r="AL119">
        <f t="shared" si="24"/>
        <v>0</v>
      </c>
      <c r="AM119">
        <f t="shared" si="25"/>
        <v>3</v>
      </c>
      <c r="AN119">
        <f t="shared" si="26"/>
        <v>4</v>
      </c>
      <c r="AO119">
        <f t="shared" si="27"/>
        <v>8</v>
      </c>
      <c r="AP119">
        <f t="shared" si="28"/>
        <v>1</v>
      </c>
      <c r="AQ119">
        <f t="shared" si="29"/>
        <v>5</v>
      </c>
      <c r="AS119">
        <v>4132</v>
      </c>
      <c r="AT119" t="s">
        <v>363</v>
      </c>
    </row>
    <row r="120" spans="1:46" ht="21" customHeight="1" thickBot="1">
      <c r="A120" s="70" t="s">
        <v>339</v>
      </c>
      <c r="B120" s="47" t="s">
        <v>340</v>
      </c>
      <c r="C120" s="71" t="s">
        <v>341</v>
      </c>
      <c r="D120" s="53">
        <v>3022542063</v>
      </c>
      <c r="E120" s="43">
        <v>7</v>
      </c>
      <c r="F120" s="45">
        <v>45809</v>
      </c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3" t="s">
        <v>94</v>
      </c>
      <c r="U120" s="44"/>
      <c r="V120" s="44"/>
      <c r="W120" s="44"/>
      <c r="X120" s="44"/>
      <c r="Y120" s="43" t="s">
        <v>94</v>
      </c>
      <c r="Z120" s="44"/>
      <c r="AA120" s="44"/>
      <c r="AB120" s="44"/>
      <c r="AC120" s="44"/>
      <c r="AD120" s="43" t="s">
        <v>39</v>
      </c>
      <c r="AE120" s="8"/>
      <c r="AF120" s="44"/>
      <c r="AG120" s="44"/>
      <c r="AH120" s="43" t="s">
        <v>94</v>
      </c>
      <c r="AI120" s="44"/>
      <c r="AJ120" s="44"/>
      <c r="AL120">
        <f t="shared" si="24"/>
        <v>0</v>
      </c>
      <c r="AM120">
        <f t="shared" si="25"/>
        <v>3</v>
      </c>
      <c r="AN120">
        <f t="shared" si="26"/>
        <v>4</v>
      </c>
      <c r="AO120">
        <f t="shared" si="27"/>
        <v>1</v>
      </c>
      <c r="AP120">
        <f t="shared" si="28"/>
        <v>0</v>
      </c>
      <c r="AQ120">
        <f t="shared" si="29"/>
        <v>4</v>
      </c>
      <c r="AS120">
        <v>4132</v>
      </c>
      <c r="AT120" t="s">
        <v>363</v>
      </c>
    </row>
    <row r="121" spans="1:46" ht="21" customHeight="1" thickBot="1">
      <c r="A121" s="70" t="s">
        <v>339</v>
      </c>
      <c r="B121" s="47" t="s">
        <v>342</v>
      </c>
      <c r="C121" s="71" t="s">
        <v>343</v>
      </c>
      <c r="D121" s="53">
        <v>3163159939</v>
      </c>
      <c r="E121" s="43">
        <v>2</v>
      </c>
      <c r="F121" s="45">
        <v>45536</v>
      </c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3" t="s">
        <v>94</v>
      </c>
      <c r="V121" s="44"/>
      <c r="W121" s="44"/>
      <c r="X121" s="44"/>
      <c r="Y121" s="43" t="s">
        <v>94</v>
      </c>
      <c r="Z121" s="44"/>
      <c r="AA121" s="43" t="s">
        <v>94</v>
      </c>
      <c r="AB121" s="44"/>
      <c r="AC121" s="44"/>
      <c r="AD121" s="43" t="s">
        <v>39</v>
      </c>
      <c r="AE121" s="8"/>
      <c r="AF121" s="44"/>
      <c r="AG121" s="44"/>
      <c r="AH121" s="43" t="s">
        <v>94</v>
      </c>
      <c r="AI121" s="44"/>
      <c r="AJ121" s="44"/>
      <c r="AL121">
        <f t="shared" si="24"/>
        <v>0</v>
      </c>
      <c r="AM121">
        <f t="shared" si="25"/>
        <v>4</v>
      </c>
      <c r="AN121">
        <f t="shared" si="26"/>
        <v>5</v>
      </c>
      <c r="AO121">
        <f t="shared" si="27"/>
        <v>2</v>
      </c>
      <c r="AP121">
        <f t="shared" si="28"/>
        <v>0</v>
      </c>
      <c r="AQ121">
        <f t="shared" si="29"/>
        <v>4</v>
      </c>
      <c r="AS121">
        <v>4132</v>
      </c>
      <c r="AT121" t="s">
        <v>363</v>
      </c>
    </row>
    <row r="122" spans="1:46" ht="21" customHeight="1" thickBot="1">
      <c r="A122" s="70" t="s">
        <v>339</v>
      </c>
      <c r="B122" s="47" t="s">
        <v>344</v>
      </c>
      <c r="C122" s="71" t="s">
        <v>345</v>
      </c>
      <c r="D122" s="53">
        <v>3148668533</v>
      </c>
      <c r="E122" s="43">
        <v>12</v>
      </c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3" t="s">
        <v>94</v>
      </c>
      <c r="V122" s="44"/>
      <c r="W122" s="44"/>
      <c r="X122" s="44"/>
      <c r="Y122" s="43" t="s">
        <v>94</v>
      </c>
      <c r="Z122" s="44"/>
      <c r="AA122" s="43" t="s">
        <v>94</v>
      </c>
      <c r="AB122" s="44"/>
      <c r="AC122" s="44"/>
      <c r="AD122" s="43" t="s">
        <v>39</v>
      </c>
      <c r="AE122" s="8"/>
      <c r="AF122" s="44"/>
      <c r="AG122" s="44"/>
      <c r="AH122" s="44"/>
      <c r="AI122" s="44"/>
      <c r="AJ122" s="43" t="s">
        <v>38</v>
      </c>
      <c r="AL122">
        <f t="shared" si="24"/>
        <v>0</v>
      </c>
      <c r="AM122">
        <f t="shared" si="25"/>
        <v>4</v>
      </c>
      <c r="AN122">
        <f t="shared" si="26"/>
        <v>5</v>
      </c>
      <c r="AO122">
        <f t="shared" si="27"/>
        <v>2</v>
      </c>
      <c r="AP122">
        <f t="shared" si="28"/>
        <v>0</v>
      </c>
      <c r="AQ122">
        <f t="shared" si="29"/>
        <v>6</v>
      </c>
      <c r="AS122">
        <v>4132</v>
      </c>
      <c r="AT122" t="s">
        <v>363</v>
      </c>
    </row>
    <row r="123" spans="1:46" ht="21" customHeight="1" thickBot="1">
      <c r="A123" s="70" t="s">
        <v>339</v>
      </c>
      <c r="B123" s="47" t="s">
        <v>346</v>
      </c>
      <c r="C123" s="71" t="s">
        <v>347</v>
      </c>
      <c r="D123" s="53">
        <v>3187350091</v>
      </c>
      <c r="E123" s="43">
        <v>11</v>
      </c>
      <c r="F123" s="45">
        <v>45474</v>
      </c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3" t="s">
        <v>94</v>
      </c>
      <c r="V123" s="43" t="s">
        <v>94</v>
      </c>
      <c r="W123" s="43" t="s">
        <v>94</v>
      </c>
      <c r="X123" s="44"/>
      <c r="Y123" s="44"/>
      <c r="Z123" s="44"/>
      <c r="AA123" s="43" t="s">
        <v>94</v>
      </c>
      <c r="AB123" s="44"/>
      <c r="AC123" s="44"/>
      <c r="AD123" s="43" t="s">
        <v>65</v>
      </c>
      <c r="AE123" s="8"/>
      <c r="AF123" s="44"/>
      <c r="AG123" s="44"/>
      <c r="AH123" s="44"/>
      <c r="AI123" s="43" t="s">
        <v>94</v>
      </c>
      <c r="AJ123" s="44"/>
      <c r="AL123">
        <f t="shared" si="24"/>
        <v>0</v>
      </c>
      <c r="AM123">
        <f t="shared" si="25"/>
        <v>4</v>
      </c>
      <c r="AN123">
        <f t="shared" si="26"/>
        <v>5</v>
      </c>
      <c r="AO123">
        <f t="shared" si="27"/>
        <v>3</v>
      </c>
      <c r="AP123">
        <f t="shared" si="28"/>
        <v>1</v>
      </c>
      <c r="AQ123">
        <f t="shared" si="29"/>
        <v>5</v>
      </c>
      <c r="AS123">
        <v>4132</v>
      </c>
      <c r="AT123" t="s">
        <v>363</v>
      </c>
    </row>
    <row r="124" spans="1:46" ht="21" customHeight="1" thickBot="1">
      <c r="A124" s="70" t="s">
        <v>339</v>
      </c>
      <c r="B124" s="47" t="s">
        <v>348</v>
      </c>
      <c r="C124" s="71" t="s">
        <v>349</v>
      </c>
      <c r="D124" s="53">
        <v>3165346114</v>
      </c>
      <c r="E124" s="43">
        <v>2</v>
      </c>
      <c r="F124" s="45">
        <v>45809</v>
      </c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3" t="s">
        <v>94</v>
      </c>
      <c r="U124" s="44"/>
      <c r="V124" s="44"/>
      <c r="W124" s="44"/>
      <c r="X124" s="44"/>
      <c r="Y124" s="47" t="s">
        <v>94</v>
      </c>
      <c r="Z124" s="44"/>
      <c r="AA124" s="44"/>
      <c r="AB124" s="44"/>
      <c r="AC124" s="44"/>
      <c r="AD124" s="43" t="s">
        <v>39</v>
      </c>
      <c r="AE124" s="8"/>
      <c r="AF124" s="44"/>
      <c r="AG124" s="44"/>
      <c r="AH124" s="44"/>
      <c r="AI124" s="43" t="s">
        <v>94</v>
      </c>
      <c r="AJ124" s="44"/>
      <c r="AL124">
        <f t="shared" si="24"/>
        <v>0</v>
      </c>
      <c r="AM124">
        <f t="shared" si="25"/>
        <v>3</v>
      </c>
      <c r="AN124">
        <f t="shared" si="26"/>
        <v>4</v>
      </c>
      <c r="AO124">
        <f t="shared" si="27"/>
        <v>1</v>
      </c>
      <c r="AP124">
        <f t="shared" si="28"/>
        <v>0</v>
      </c>
      <c r="AQ124">
        <f t="shared" si="29"/>
        <v>5</v>
      </c>
      <c r="AS124">
        <v>4132</v>
      </c>
      <c r="AT124" t="s">
        <v>363</v>
      </c>
    </row>
    <row r="125" spans="1:46" ht="21" customHeight="1" thickBot="1">
      <c r="A125" s="28" t="s">
        <v>350</v>
      </c>
      <c r="B125" s="47" t="s">
        <v>351</v>
      </c>
      <c r="C125" s="75" t="s">
        <v>352</v>
      </c>
      <c r="D125" s="76">
        <v>3103834365</v>
      </c>
      <c r="E125" s="7">
        <v>20</v>
      </c>
      <c r="F125" s="57">
        <v>39722</v>
      </c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7" t="s">
        <v>94</v>
      </c>
      <c r="V125" s="47" t="s">
        <v>94</v>
      </c>
      <c r="W125" s="47" t="s">
        <v>94</v>
      </c>
      <c r="X125" s="47" t="s">
        <v>94</v>
      </c>
      <c r="Y125" s="47" t="s">
        <v>94</v>
      </c>
      <c r="Z125" s="47" t="s">
        <v>94</v>
      </c>
      <c r="AA125" s="47" t="s">
        <v>94</v>
      </c>
      <c r="AB125" s="47" t="s">
        <v>94</v>
      </c>
      <c r="AC125" s="47" t="s">
        <v>94</v>
      </c>
      <c r="AD125" s="43" t="s">
        <v>65</v>
      </c>
      <c r="AE125" s="8"/>
      <c r="AF125" s="44"/>
      <c r="AG125" s="44"/>
      <c r="AH125" s="44"/>
      <c r="AI125" s="43" t="s">
        <v>94</v>
      </c>
      <c r="AJ125" s="44"/>
      <c r="AL125">
        <f t="shared" si="24"/>
        <v>0</v>
      </c>
      <c r="AM125">
        <f t="shared" si="25"/>
        <v>4</v>
      </c>
      <c r="AN125">
        <f t="shared" si="26"/>
        <v>5</v>
      </c>
      <c r="AO125">
        <f t="shared" si="27"/>
        <v>8</v>
      </c>
      <c r="AP125">
        <f t="shared" si="28"/>
        <v>1</v>
      </c>
      <c r="AQ125">
        <f t="shared" si="29"/>
        <v>5</v>
      </c>
      <c r="AS125">
        <v>4132</v>
      </c>
      <c r="AT125" t="s">
        <v>363</v>
      </c>
    </row>
    <row r="126" spans="1:46" ht="21" customHeight="1" thickBot="1">
      <c r="A126" s="28" t="s">
        <v>350</v>
      </c>
      <c r="B126" s="4" t="s">
        <v>353</v>
      </c>
      <c r="C126" s="30" t="s">
        <v>354</v>
      </c>
      <c r="D126" s="4">
        <v>3017592666</v>
      </c>
      <c r="E126" s="7">
        <v>21</v>
      </c>
      <c r="F126" s="57">
        <v>41275</v>
      </c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7" t="s">
        <v>94</v>
      </c>
      <c r="V126" s="47" t="s">
        <v>94</v>
      </c>
      <c r="W126" s="47" t="s">
        <v>94</v>
      </c>
      <c r="X126" s="47" t="s">
        <v>94</v>
      </c>
      <c r="Y126" s="47" t="s">
        <v>94</v>
      </c>
      <c r="Z126" s="47" t="s">
        <v>94</v>
      </c>
      <c r="AA126" s="47" t="s">
        <v>94</v>
      </c>
      <c r="AB126" s="47" t="s">
        <v>94</v>
      </c>
      <c r="AC126" s="47" t="s">
        <v>94</v>
      </c>
      <c r="AD126" s="43" t="s">
        <v>65</v>
      </c>
      <c r="AE126" s="8"/>
      <c r="AF126" s="44"/>
      <c r="AG126" s="44"/>
      <c r="AH126" s="47" t="s">
        <v>94</v>
      </c>
      <c r="AI126" s="44"/>
      <c r="AJ126" s="44"/>
      <c r="AL126">
        <f t="shared" si="24"/>
        <v>0</v>
      </c>
      <c r="AM126">
        <f t="shared" si="25"/>
        <v>4</v>
      </c>
      <c r="AN126">
        <f t="shared" si="26"/>
        <v>5</v>
      </c>
      <c r="AO126">
        <f t="shared" si="27"/>
        <v>8</v>
      </c>
      <c r="AP126">
        <f t="shared" si="28"/>
        <v>1</v>
      </c>
      <c r="AQ126">
        <f t="shared" si="29"/>
        <v>4</v>
      </c>
      <c r="AS126">
        <v>4132</v>
      </c>
      <c r="AT126" t="s">
        <v>363</v>
      </c>
    </row>
    <row r="127" spans="1:46" ht="21" customHeight="1" thickBot="1">
      <c r="A127" s="28" t="s">
        <v>350</v>
      </c>
      <c r="B127" s="4" t="s">
        <v>355</v>
      </c>
      <c r="C127" s="29" t="s">
        <v>356</v>
      </c>
      <c r="D127" s="4">
        <v>3154284316</v>
      </c>
      <c r="E127" s="7">
        <v>20</v>
      </c>
      <c r="F127" s="57">
        <v>45536</v>
      </c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7" t="s">
        <v>94</v>
      </c>
      <c r="V127" s="44"/>
      <c r="W127" s="47" t="s">
        <v>94</v>
      </c>
      <c r="X127" s="47" t="s">
        <v>94</v>
      </c>
      <c r="Y127" s="47" t="s">
        <v>94</v>
      </c>
      <c r="Z127" s="47" t="s">
        <v>94</v>
      </c>
      <c r="AA127" s="47" t="s">
        <v>94</v>
      </c>
      <c r="AB127" s="44"/>
      <c r="AC127" s="44"/>
      <c r="AD127" s="43" t="s">
        <v>65</v>
      </c>
      <c r="AE127" s="8"/>
      <c r="AF127" s="44"/>
      <c r="AG127" s="44"/>
      <c r="AH127" s="44"/>
      <c r="AI127" s="43" t="s">
        <v>94</v>
      </c>
      <c r="AJ127" s="44"/>
      <c r="AL127">
        <f t="shared" si="24"/>
        <v>0</v>
      </c>
      <c r="AM127">
        <f t="shared" si="25"/>
        <v>4</v>
      </c>
      <c r="AN127">
        <f t="shared" si="26"/>
        <v>5</v>
      </c>
      <c r="AO127">
        <f t="shared" si="27"/>
        <v>5</v>
      </c>
      <c r="AP127">
        <f t="shared" si="28"/>
        <v>1</v>
      </c>
      <c r="AQ127">
        <f t="shared" si="29"/>
        <v>5</v>
      </c>
      <c r="AS127">
        <v>4132</v>
      </c>
      <c r="AT127" t="s">
        <v>363</v>
      </c>
    </row>
    <row r="128" spans="1:46" ht="21" customHeight="1" thickBot="1">
      <c r="A128" s="28" t="s">
        <v>350</v>
      </c>
      <c r="B128" s="4" t="s">
        <v>357</v>
      </c>
      <c r="C128" s="29" t="s">
        <v>358</v>
      </c>
      <c r="D128" s="4">
        <v>3184935821</v>
      </c>
      <c r="E128" s="7">
        <v>11</v>
      </c>
      <c r="F128" s="57">
        <v>45536</v>
      </c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7" t="s">
        <v>94</v>
      </c>
      <c r="V128" s="44"/>
      <c r="W128" s="47" t="s">
        <v>94</v>
      </c>
      <c r="X128" s="47" t="s">
        <v>94</v>
      </c>
      <c r="Y128" s="47" t="s">
        <v>94</v>
      </c>
      <c r="Z128" s="47" t="s">
        <v>94</v>
      </c>
      <c r="AA128" s="47" t="s">
        <v>94</v>
      </c>
      <c r="AB128" s="44"/>
      <c r="AC128" s="44"/>
      <c r="AD128" s="43" t="s">
        <v>65</v>
      </c>
      <c r="AE128" s="8"/>
      <c r="AF128" s="44"/>
      <c r="AG128" s="44"/>
      <c r="AH128" s="47" t="s">
        <v>94</v>
      </c>
      <c r="AI128" s="44"/>
      <c r="AJ128" s="44"/>
      <c r="AL128">
        <f t="shared" si="24"/>
        <v>0</v>
      </c>
      <c r="AM128">
        <f t="shared" si="25"/>
        <v>4</v>
      </c>
      <c r="AN128">
        <f t="shared" si="26"/>
        <v>5</v>
      </c>
      <c r="AO128">
        <f t="shared" si="27"/>
        <v>5</v>
      </c>
      <c r="AP128">
        <f t="shared" si="28"/>
        <v>1</v>
      </c>
      <c r="AQ128">
        <f t="shared" si="29"/>
        <v>4</v>
      </c>
      <c r="AS128">
        <v>4132</v>
      </c>
      <c r="AT128" t="s">
        <v>363</v>
      </c>
    </row>
    <row r="129" spans="1:46" ht="21" customHeight="1" thickBot="1">
      <c r="A129" s="28" t="s">
        <v>350</v>
      </c>
      <c r="B129" s="4" t="s">
        <v>359</v>
      </c>
      <c r="C129" s="29" t="s">
        <v>360</v>
      </c>
      <c r="D129" s="4">
        <v>3108385082</v>
      </c>
      <c r="E129" s="7">
        <v>6</v>
      </c>
      <c r="F129" s="57">
        <v>45536</v>
      </c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3" t="s">
        <v>94</v>
      </c>
      <c r="U129" s="44"/>
      <c r="V129" s="44"/>
      <c r="W129" s="47" t="s">
        <v>94</v>
      </c>
      <c r="X129" s="47" t="s">
        <v>94</v>
      </c>
      <c r="Y129" s="47" t="s">
        <v>94</v>
      </c>
      <c r="Z129" s="47" t="s">
        <v>94</v>
      </c>
      <c r="AA129" s="47" t="s">
        <v>94</v>
      </c>
      <c r="AB129" s="44"/>
      <c r="AC129" s="44"/>
      <c r="AD129" s="43" t="s">
        <v>65</v>
      </c>
      <c r="AE129" s="8"/>
      <c r="AF129" s="44"/>
      <c r="AG129" s="47" t="s">
        <v>94</v>
      </c>
      <c r="AH129" s="44"/>
      <c r="AI129" s="44"/>
      <c r="AJ129" s="44"/>
      <c r="AL129">
        <f t="shared" si="24"/>
        <v>0</v>
      </c>
      <c r="AM129">
        <f t="shared" si="25"/>
        <v>3</v>
      </c>
      <c r="AN129">
        <f t="shared" si="26"/>
        <v>4</v>
      </c>
      <c r="AO129">
        <f t="shared" si="27"/>
        <v>5</v>
      </c>
      <c r="AP129">
        <f t="shared" si="28"/>
        <v>1</v>
      </c>
      <c r="AQ129">
        <f t="shared" si="29"/>
        <v>3</v>
      </c>
      <c r="AS129">
        <v>4132</v>
      </c>
      <c r="AT129" t="s">
        <v>363</v>
      </c>
    </row>
    <row r="130" spans="1:46" ht="21" customHeight="1" thickBot="1">
      <c r="A130" s="28" t="s">
        <v>350</v>
      </c>
      <c r="B130" s="4" t="s">
        <v>361</v>
      </c>
      <c r="C130" s="29" t="s">
        <v>362</v>
      </c>
      <c r="D130" s="4">
        <v>3502872051</v>
      </c>
      <c r="E130" s="7">
        <v>5</v>
      </c>
      <c r="F130" s="57">
        <v>45536</v>
      </c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7" t="s">
        <v>94</v>
      </c>
      <c r="S130" s="44"/>
      <c r="T130" s="44"/>
      <c r="U130" s="44"/>
      <c r="V130" s="44"/>
      <c r="W130" s="44"/>
      <c r="X130" s="44"/>
      <c r="Y130" s="44"/>
      <c r="Z130" s="44"/>
      <c r="AA130" s="44"/>
      <c r="AB130" s="47" t="s">
        <v>94</v>
      </c>
      <c r="AC130" s="44"/>
      <c r="AD130" s="43" t="s">
        <v>65</v>
      </c>
      <c r="AE130" s="47" t="s">
        <v>94</v>
      </c>
      <c r="AF130" s="44"/>
      <c r="AG130" s="44"/>
      <c r="AH130" s="44"/>
      <c r="AI130" s="44"/>
      <c r="AJ130" s="44"/>
      <c r="AL130">
        <f t="shared" si="24"/>
        <v>0</v>
      </c>
      <c r="AM130">
        <f t="shared" si="25"/>
        <v>1</v>
      </c>
      <c r="AN130">
        <f t="shared" si="26"/>
        <v>2</v>
      </c>
      <c r="AO130">
        <f t="shared" si="27"/>
        <v>1</v>
      </c>
      <c r="AP130">
        <f t="shared" si="28"/>
        <v>1</v>
      </c>
      <c r="AQ130">
        <f t="shared" si="29"/>
        <v>1</v>
      </c>
      <c r="AS130">
        <v>4132</v>
      </c>
      <c r="AT130" t="s">
        <v>363</v>
      </c>
    </row>
    <row r="131" spans="1:46" ht="23.25" customHeight="1" thickBot="1">
      <c r="A131" s="84" t="s">
        <v>364</v>
      </c>
      <c r="B131" s="23" t="s">
        <v>365</v>
      </c>
      <c r="C131" s="77" t="s">
        <v>366</v>
      </c>
      <c r="D131" s="78">
        <v>3154448902</v>
      </c>
      <c r="E131" s="78">
        <v>30</v>
      </c>
      <c r="F131" s="79">
        <v>42248</v>
      </c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25" t="s">
        <v>38</v>
      </c>
      <c r="U131" s="38"/>
      <c r="V131" s="25" t="s">
        <v>38</v>
      </c>
      <c r="W131" s="25" t="s">
        <v>38</v>
      </c>
      <c r="X131" s="25" t="s">
        <v>38</v>
      </c>
      <c r="Y131" s="25" t="s">
        <v>38</v>
      </c>
      <c r="Z131" s="25" t="s">
        <v>38</v>
      </c>
      <c r="AA131" s="25" t="s">
        <v>38</v>
      </c>
      <c r="AB131" s="25" t="s">
        <v>38</v>
      </c>
      <c r="AC131" s="38"/>
      <c r="AD131" s="23" t="s">
        <v>108</v>
      </c>
      <c r="AE131" s="32"/>
      <c r="AF131" s="38"/>
      <c r="AG131" s="38"/>
      <c r="AH131" s="38"/>
      <c r="AI131" s="25" t="s">
        <v>38</v>
      </c>
      <c r="AJ131" s="38"/>
      <c r="AL131">
        <f t="shared" si="24"/>
        <v>0</v>
      </c>
      <c r="AM131">
        <f t="shared" si="25"/>
        <v>3</v>
      </c>
      <c r="AN131">
        <f t="shared" si="26"/>
        <v>4</v>
      </c>
      <c r="AO131">
        <f t="shared" si="27"/>
        <v>7</v>
      </c>
      <c r="AP131">
        <f t="shared" si="28"/>
        <v>0</v>
      </c>
      <c r="AQ131">
        <f t="shared" si="29"/>
        <v>5</v>
      </c>
      <c r="AS131">
        <v>4134</v>
      </c>
      <c r="AT131" t="s">
        <v>374</v>
      </c>
    </row>
    <row r="132" spans="1:46" ht="23.25" customHeight="1" thickBot="1">
      <c r="A132" s="84" t="s">
        <v>364</v>
      </c>
      <c r="B132" s="47" t="s">
        <v>367</v>
      </c>
      <c r="C132" s="71" t="s">
        <v>368</v>
      </c>
      <c r="D132" s="53">
        <v>3137368699</v>
      </c>
      <c r="E132" s="53">
        <v>2</v>
      </c>
      <c r="F132" s="80">
        <v>42248</v>
      </c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7" t="s">
        <v>38</v>
      </c>
      <c r="U132" s="44"/>
      <c r="V132" s="44"/>
      <c r="W132" s="44"/>
      <c r="X132" s="44"/>
      <c r="Y132" s="7" t="s">
        <v>38</v>
      </c>
      <c r="Z132" s="7" t="s">
        <v>38</v>
      </c>
      <c r="AA132" s="7" t="s">
        <v>38</v>
      </c>
      <c r="AB132" s="7" t="s">
        <v>38</v>
      </c>
      <c r="AC132" s="44"/>
      <c r="AD132" s="4" t="s">
        <v>108</v>
      </c>
      <c r="AE132" s="8"/>
      <c r="AF132" s="44"/>
      <c r="AG132" s="7" t="s">
        <v>38</v>
      </c>
      <c r="AH132" s="44"/>
      <c r="AI132" s="44"/>
      <c r="AJ132" s="44"/>
      <c r="AL132">
        <f t="shared" si="24"/>
        <v>0</v>
      </c>
      <c r="AM132">
        <f t="shared" si="25"/>
        <v>3</v>
      </c>
      <c r="AN132">
        <f t="shared" si="26"/>
        <v>4</v>
      </c>
      <c r="AO132">
        <f t="shared" si="27"/>
        <v>4</v>
      </c>
      <c r="AP132">
        <f t="shared" si="28"/>
        <v>0</v>
      </c>
      <c r="AQ132">
        <f t="shared" si="29"/>
        <v>3</v>
      </c>
      <c r="AS132">
        <v>4134</v>
      </c>
      <c r="AT132" t="s">
        <v>374</v>
      </c>
    </row>
    <row r="133" spans="1:46" ht="21" customHeight="1" thickBot="1">
      <c r="A133" s="84" t="s">
        <v>364</v>
      </c>
      <c r="B133" s="47" t="s">
        <v>369</v>
      </c>
      <c r="C133" s="71" t="s">
        <v>370</v>
      </c>
      <c r="D133" s="53">
        <v>3175537754</v>
      </c>
      <c r="E133" s="53">
        <v>5</v>
      </c>
      <c r="F133" s="80">
        <v>43831</v>
      </c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7" t="s">
        <v>38</v>
      </c>
      <c r="V133" s="44"/>
      <c r="W133" s="44"/>
      <c r="X133" s="44"/>
      <c r="Y133" s="7" t="s">
        <v>38</v>
      </c>
      <c r="Z133" s="7" t="s">
        <v>38</v>
      </c>
      <c r="AA133" s="7" t="s">
        <v>38</v>
      </c>
      <c r="AB133" s="7" t="s">
        <v>38</v>
      </c>
      <c r="AC133" s="44"/>
      <c r="AD133" s="4" t="s">
        <v>108</v>
      </c>
      <c r="AE133" s="8"/>
      <c r="AF133" s="44"/>
      <c r="AG133" s="44"/>
      <c r="AH133" s="7" t="s">
        <v>38</v>
      </c>
      <c r="AI133" s="44"/>
      <c r="AJ133" s="44"/>
      <c r="AL133">
        <f t="shared" si="24"/>
        <v>0</v>
      </c>
      <c r="AM133">
        <f t="shared" si="25"/>
        <v>4</v>
      </c>
      <c r="AN133">
        <f t="shared" si="26"/>
        <v>5</v>
      </c>
      <c r="AO133">
        <f t="shared" si="27"/>
        <v>4</v>
      </c>
      <c r="AP133">
        <f t="shared" si="28"/>
        <v>0</v>
      </c>
      <c r="AQ133">
        <f t="shared" si="29"/>
        <v>4</v>
      </c>
      <c r="AS133">
        <v>4134</v>
      </c>
      <c r="AT133" t="s">
        <v>374</v>
      </c>
    </row>
    <row r="134" spans="1:46" ht="21" customHeight="1" thickBot="1">
      <c r="A134" s="28" t="s">
        <v>371</v>
      </c>
      <c r="B134" s="4" t="s">
        <v>372</v>
      </c>
      <c r="C134" s="81" t="s">
        <v>373</v>
      </c>
      <c r="D134" s="82">
        <v>3183904372</v>
      </c>
      <c r="E134" s="82">
        <v>20</v>
      </c>
      <c r="F134" s="83">
        <v>44440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 t="s">
        <v>38</v>
      </c>
      <c r="V134" s="4" t="s">
        <v>38</v>
      </c>
      <c r="W134" s="6"/>
      <c r="X134" s="6"/>
      <c r="Y134" s="6"/>
      <c r="Z134" s="4" t="s">
        <v>38</v>
      </c>
      <c r="AA134" s="6"/>
      <c r="AB134" s="4" t="s">
        <v>38</v>
      </c>
      <c r="AC134" s="6"/>
      <c r="AD134" s="4"/>
      <c r="AE134" s="6"/>
      <c r="AF134" s="6"/>
      <c r="AG134" s="6"/>
      <c r="AH134" s="6"/>
      <c r="AI134" s="7" t="s">
        <v>38</v>
      </c>
      <c r="AJ134" s="6"/>
      <c r="AL134">
        <f t="shared" si="24"/>
        <v>0</v>
      </c>
      <c r="AM134">
        <f t="shared" si="25"/>
        <v>4</v>
      </c>
      <c r="AN134">
        <f t="shared" si="26"/>
        <v>5</v>
      </c>
      <c r="AO134">
        <f t="shared" si="27"/>
        <v>3</v>
      </c>
      <c r="AP134">
        <f t="shared" si="28"/>
        <v>0</v>
      </c>
      <c r="AQ134">
        <f t="shared" si="29"/>
        <v>5</v>
      </c>
      <c r="AS134">
        <v>4134</v>
      </c>
      <c r="AT134" t="s">
        <v>374</v>
      </c>
    </row>
    <row r="135" spans="1:46" ht="21" customHeight="1" thickBot="1">
      <c r="A135" s="85" t="s">
        <v>375</v>
      </c>
      <c r="B135" s="86" t="s">
        <v>376</v>
      </c>
      <c r="C135" s="87" t="s">
        <v>377</v>
      </c>
      <c r="D135" s="86" t="s">
        <v>378</v>
      </c>
      <c r="E135" s="86" t="s">
        <v>379</v>
      </c>
      <c r="F135" s="86" t="s">
        <v>380</v>
      </c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5" t="s">
        <v>94</v>
      </c>
      <c r="U135" s="27"/>
      <c r="V135" s="23" t="s">
        <v>38</v>
      </c>
      <c r="W135" s="27"/>
      <c r="X135" s="23" t="s">
        <v>94</v>
      </c>
      <c r="Y135" s="27"/>
      <c r="Z135" s="27"/>
      <c r="AA135" s="23" t="s">
        <v>94</v>
      </c>
      <c r="AB135" s="23" t="s">
        <v>94</v>
      </c>
      <c r="AC135" s="23" t="s">
        <v>94</v>
      </c>
      <c r="AD135" s="23" t="s">
        <v>65</v>
      </c>
      <c r="AE135" s="32"/>
      <c r="AF135" s="27"/>
      <c r="AG135" s="27"/>
      <c r="AH135" s="27"/>
      <c r="AI135" s="27"/>
      <c r="AJ135" s="25" t="s">
        <v>94</v>
      </c>
      <c r="AL135">
        <f t="shared" si="24"/>
        <v>0</v>
      </c>
      <c r="AM135">
        <f t="shared" si="25"/>
        <v>3</v>
      </c>
      <c r="AN135">
        <f t="shared" si="26"/>
        <v>4</v>
      </c>
      <c r="AO135">
        <f t="shared" si="27"/>
        <v>5</v>
      </c>
      <c r="AP135">
        <f t="shared" si="28"/>
        <v>1</v>
      </c>
      <c r="AQ135">
        <f t="shared" si="29"/>
        <v>6</v>
      </c>
      <c r="AS135" s="90">
        <v>4146</v>
      </c>
      <c r="AT135" s="90" t="s">
        <v>422</v>
      </c>
    </row>
    <row r="136" spans="1:46" ht="21" customHeight="1" thickBot="1">
      <c r="A136" s="88" t="s">
        <v>375</v>
      </c>
      <c r="B136" s="11" t="s">
        <v>381</v>
      </c>
      <c r="C136" s="89" t="s">
        <v>382</v>
      </c>
      <c r="D136" s="11" t="s">
        <v>383</v>
      </c>
      <c r="E136" s="11" t="s">
        <v>379</v>
      </c>
      <c r="F136" s="11" t="s">
        <v>380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 t="s">
        <v>94</v>
      </c>
      <c r="U136" s="6"/>
      <c r="V136" s="4" t="s">
        <v>38</v>
      </c>
      <c r="W136" s="6"/>
      <c r="X136" s="4" t="s">
        <v>94</v>
      </c>
      <c r="Y136" s="6"/>
      <c r="Z136" s="6"/>
      <c r="AA136" s="4" t="s">
        <v>94</v>
      </c>
      <c r="AB136" s="4" t="s">
        <v>94</v>
      </c>
      <c r="AC136" s="4" t="s">
        <v>94</v>
      </c>
      <c r="AD136" s="4" t="s">
        <v>65</v>
      </c>
      <c r="AE136" s="8"/>
      <c r="AF136" s="6"/>
      <c r="AG136" s="6"/>
      <c r="AH136" s="6"/>
      <c r="AI136" s="7" t="s">
        <v>94</v>
      </c>
      <c r="AJ136" s="6"/>
      <c r="AL136">
        <f t="shared" si="24"/>
        <v>0</v>
      </c>
      <c r="AM136">
        <f t="shared" si="25"/>
        <v>3</v>
      </c>
      <c r="AN136">
        <f t="shared" si="26"/>
        <v>4</v>
      </c>
      <c r="AO136">
        <f t="shared" si="27"/>
        <v>5</v>
      </c>
      <c r="AP136">
        <f t="shared" si="28"/>
        <v>1</v>
      </c>
      <c r="AQ136">
        <f t="shared" si="29"/>
        <v>5</v>
      </c>
      <c r="AS136" s="90">
        <v>4146</v>
      </c>
      <c r="AT136" s="90" t="s">
        <v>422</v>
      </c>
    </row>
    <row r="137" spans="1:46" ht="21" customHeight="1" thickBot="1">
      <c r="A137" s="88" t="s">
        <v>375</v>
      </c>
      <c r="B137" s="11" t="s">
        <v>384</v>
      </c>
      <c r="C137" s="89" t="s">
        <v>385</v>
      </c>
      <c r="D137" s="11" t="s">
        <v>386</v>
      </c>
      <c r="E137" s="11" t="s">
        <v>379</v>
      </c>
      <c r="F137" s="11" t="s">
        <v>387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 t="s">
        <v>38</v>
      </c>
      <c r="V137" s="4" t="s">
        <v>38</v>
      </c>
      <c r="W137" s="6"/>
      <c r="X137" s="4" t="s">
        <v>94</v>
      </c>
      <c r="Y137" s="6"/>
      <c r="Z137" s="6"/>
      <c r="AA137" s="4" t="s">
        <v>94</v>
      </c>
      <c r="AB137" s="4" t="s">
        <v>94</v>
      </c>
      <c r="AC137" s="4" t="s">
        <v>94</v>
      </c>
      <c r="AD137" s="4" t="s">
        <v>65</v>
      </c>
      <c r="AE137" s="8"/>
      <c r="AF137" s="6"/>
      <c r="AG137" s="6"/>
      <c r="AH137" s="7" t="s">
        <v>94</v>
      </c>
      <c r="AI137" s="6"/>
      <c r="AJ137" s="6"/>
      <c r="AL137">
        <f t="shared" si="24"/>
        <v>0</v>
      </c>
      <c r="AM137">
        <f t="shared" si="25"/>
        <v>4</v>
      </c>
      <c r="AN137">
        <f t="shared" si="26"/>
        <v>5</v>
      </c>
      <c r="AO137">
        <f t="shared" si="27"/>
        <v>5</v>
      </c>
      <c r="AP137">
        <f t="shared" si="28"/>
        <v>1</v>
      </c>
      <c r="AQ137">
        <f t="shared" si="29"/>
        <v>4</v>
      </c>
      <c r="AS137" s="90">
        <v>4146</v>
      </c>
      <c r="AT137" s="90" t="s">
        <v>422</v>
      </c>
    </row>
    <row r="138" spans="1:46" ht="21" customHeight="1" thickBot="1">
      <c r="A138" s="88" t="s">
        <v>388</v>
      </c>
      <c r="B138" s="11" t="s">
        <v>389</v>
      </c>
      <c r="C138" s="89" t="s">
        <v>390</v>
      </c>
      <c r="D138" s="11">
        <v>3154079120</v>
      </c>
      <c r="E138" s="11" t="s">
        <v>379</v>
      </c>
      <c r="F138" s="11" t="s">
        <v>391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 t="s">
        <v>94</v>
      </c>
      <c r="V138" s="4" t="s">
        <v>38</v>
      </c>
      <c r="W138" s="4" t="s">
        <v>38</v>
      </c>
      <c r="X138" s="4" t="s">
        <v>94</v>
      </c>
      <c r="Y138" s="6"/>
      <c r="Z138" s="6"/>
      <c r="AA138" s="4" t="s">
        <v>94</v>
      </c>
      <c r="AB138" s="4" t="s">
        <v>94</v>
      </c>
      <c r="AC138" s="4" t="s">
        <v>94</v>
      </c>
      <c r="AD138" s="4" t="s">
        <v>65</v>
      </c>
      <c r="AE138" s="8"/>
      <c r="AF138" s="6"/>
      <c r="AG138" s="6"/>
      <c r="AH138" s="6"/>
      <c r="AI138" s="7" t="s">
        <v>94</v>
      </c>
      <c r="AJ138" s="6"/>
      <c r="AL138">
        <f t="shared" si="24"/>
        <v>0</v>
      </c>
      <c r="AM138">
        <f t="shared" si="25"/>
        <v>4</v>
      </c>
      <c r="AN138">
        <f t="shared" si="26"/>
        <v>5</v>
      </c>
      <c r="AO138">
        <f t="shared" si="27"/>
        <v>6</v>
      </c>
      <c r="AP138">
        <f t="shared" si="28"/>
        <v>1</v>
      </c>
      <c r="AQ138">
        <f t="shared" si="29"/>
        <v>5</v>
      </c>
      <c r="AS138" s="90">
        <v>4146</v>
      </c>
      <c r="AT138" s="90" t="s">
        <v>422</v>
      </c>
    </row>
    <row r="139" spans="1:46" ht="21" customHeight="1" thickBot="1">
      <c r="A139" s="88" t="s">
        <v>392</v>
      </c>
      <c r="B139" s="11" t="s">
        <v>393</v>
      </c>
      <c r="C139" s="89" t="s">
        <v>394</v>
      </c>
      <c r="D139" s="11" t="s">
        <v>395</v>
      </c>
      <c r="E139" s="11" t="s">
        <v>379</v>
      </c>
      <c r="F139" s="11" t="s">
        <v>396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 t="s">
        <v>94</v>
      </c>
      <c r="U139" s="6"/>
      <c r="V139" s="4" t="s">
        <v>38</v>
      </c>
      <c r="W139" s="6"/>
      <c r="X139" s="4" t="s">
        <v>94</v>
      </c>
      <c r="Y139" s="6"/>
      <c r="Z139" s="4" t="s">
        <v>94</v>
      </c>
      <c r="AA139" s="4" t="s">
        <v>94</v>
      </c>
      <c r="AB139" s="4" t="s">
        <v>94</v>
      </c>
      <c r="AC139" s="4" t="s">
        <v>94</v>
      </c>
      <c r="AD139" s="4" t="s">
        <v>65</v>
      </c>
      <c r="AE139" s="8"/>
      <c r="AF139" s="6"/>
      <c r="AG139" s="6"/>
      <c r="AH139" s="6"/>
      <c r="AI139" s="7" t="s">
        <v>94</v>
      </c>
      <c r="AJ139" s="6"/>
      <c r="AL139">
        <f t="shared" si="24"/>
        <v>0</v>
      </c>
      <c r="AM139">
        <f t="shared" si="25"/>
        <v>3</v>
      </c>
      <c r="AN139">
        <f t="shared" si="26"/>
        <v>4</v>
      </c>
      <c r="AO139">
        <f t="shared" si="27"/>
        <v>6</v>
      </c>
      <c r="AP139">
        <f t="shared" si="28"/>
        <v>1</v>
      </c>
      <c r="AQ139">
        <f t="shared" si="29"/>
        <v>5</v>
      </c>
      <c r="AS139" s="90">
        <v>4146</v>
      </c>
      <c r="AT139" s="90" t="s">
        <v>422</v>
      </c>
    </row>
    <row r="140" spans="1:46" ht="21" customHeight="1" thickBot="1">
      <c r="A140" s="88" t="s">
        <v>392</v>
      </c>
      <c r="B140" s="11" t="s">
        <v>397</v>
      </c>
      <c r="C140" s="89" t="s">
        <v>398</v>
      </c>
      <c r="D140" s="11" t="s">
        <v>399</v>
      </c>
      <c r="E140" s="11" t="s">
        <v>379</v>
      </c>
      <c r="F140" s="11" t="s">
        <v>400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 t="s">
        <v>94</v>
      </c>
      <c r="U140" s="6"/>
      <c r="V140" s="4" t="s">
        <v>38</v>
      </c>
      <c r="W140" s="6"/>
      <c r="X140" s="4" t="s">
        <v>94</v>
      </c>
      <c r="Y140" s="6"/>
      <c r="Z140" s="4" t="s">
        <v>94</v>
      </c>
      <c r="AA140" s="4" t="s">
        <v>94</v>
      </c>
      <c r="AB140" s="4" t="s">
        <v>94</v>
      </c>
      <c r="AC140" s="4" t="s">
        <v>94</v>
      </c>
      <c r="AD140" s="4" t="s">
        <v>65</v>
      </c>
      <c r="AE140" s="8"/>
      <c r="AF140" s="6"/>
      <c r="AG140" s="7" t="s">
        <v>94</v>
      </c>
      <c r="AH140" s="6"/>
      <c r="AI140" s="6"/>
      <c r="AJ140" s="6"/>
      <c r="AL140">
        <f t="shared" si="24"/>
        <v>0</v>
      </c>
      <c r="AM140">
        <f t="shared" si="25"/>
        <v>3</v>
      </c>
      <c r="AN140">
        <f t="shared" si="26"/>
        <v>4</v>
      </c>
      <c r="AO140">
        <f t="shared" si="27"/>
        <v>6</v>
      </c>
      <c r="AP140">
        <f t="shared" si="28"/>
        <v>1</v>
      </c>
      <c r="AQ140">
        <f t="shared" si="29"/>
        <v>3</v>
      </c>
      <c r="AS140" s="90">
        <v>4146</v>
      </c>
      <c r="AT140" s="90" t="s">
        <v>422</v>
      </c>
    </row>
    <row r="141" spans="1:46" ht="21" customHeight="1" thickBot="1">
      <c r="A141" s="88" t="s">
        <v>392</v>
      </c>
      <c r="B141" s="11" t="s">
        <v>401</v>
      </c>
      <c r="C141" s="89" t="s">
        <v>402</v>
      </c>
      <c r="D141" s="11" t="s">
        <v>403</v>
      </c>
      <c r="E141" s="11" t="s">
        <v>379</v>
      </c>
      <c r="F141" s="11" t="s">
        <v>404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 t="s">
        <v>94</v>
      </c>
      <c r="U141" s="6"/>
      <c r="V141" s="4" t="s">
        <v>38</v>
      </c>
      <c r="W141" s="6"/>
      <c r="X141" s="4" t="s">
        <v>94</v>
      </c>
      <c r="Y141" s="6"/>
      <c r="Z141" s="4" t="s">
        <v>94</v>
      </c>
      <c r="AA141" s="4" t="s">
        <v>94</v>
      </c>
      <c r="AB141" s="4" t="s">
        <v>94</v>
      </c>
      <c r="AC141" s="4" t="s">
        <v>94</v>
      </c>
      <c r="AD141" s="4" t="s">
        <v>65</v>
      </c>
      <c r="AE141" s="8"/>
      <c r="AF141" s="6"/>
      <c r="AG141" s="6"/>
      <c r="AH141" s="7" t="s">
        <v>94</v>
      </c>
      <c r="AI141" s="6"/>
      <c r="AJ141" s="6"/>
      <c r="AL141">
        <f t="shared" si="24"/>
        <v>0</v>
      </c>
      <c r="AM141">
        <f t="shared" si="25"/>
        <v>3</v>
      </c>
      <c r="AN141">
        <f t="shared" si="26"/>
        <v>4</v>
      </c>
      <c r="AO141">
        <f t="shared" si="27"/>
        <v>6</v>
      </c>
      <c r="AP141">
        <f t="shared" si="28"/>
        <v>1</v>
      </c>
      <c r="AQ141">
        <f t="shared" si="29"/>
        <v>4</v>
      </c>
      <c r="AS141" s="90">
        <v>4146</v>
      </c>
      <c r="AT141" s="90" t="s">
        <v>422</v>
      </c>
    </row>
    <row r="142" spans="1:46" ht="21" customHeight="1" thickBot="1">
      <c r="A142" s="88" t="s">
        <v>392</v>
      </c>
      <c r="B142" s="11" t="s">
        <v>405</v>
      </c>
      <c r="C142" s="89" t="s">
        <v>406</v>
      </c>
      <c r="D142" s="11" t="s">
        <v>407</v>
      </c>
      <c r="E142" s="11" t="s">
        <v>379</v>
      </c>
      <c r="F142" s="11" t="s">
        <v>387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 t="s">
        <v>94</v>
      </c>
      <c r="U142" s="6"/>
      <c r="V142" s="4" t="s">
        <v>94</v>
      </c>
      <c r="W142" s="4" t="s">
        <v>94</v>
      </c>
      <c r="X142" s="6"/>
      <c r="Y142" s="6"/>
      <c r="Z142" s="6"/>
      <c r="AA142" s="6"/>
      <c r="AB142" s="6"/>
      <c r="AC142" s="4" t="s">
        <v>94</v>
      </c>
      <c r="AD142" s="4" t="s">
        <v>65</v>
      </c>
      <c r="AE142" s="8"/>
      <c r="AF142" s="6"/>
      <c r="AG142" s="7" t="s">
        <v>94</v>
      </c>
      <c r="AH142" s="6"/>
      <c r="AI142" s="6"/>
      <c r="AJ142" s="6"/>
      <c r="AL142">
        <f t="shared" si="24"/>
        <v>0</v>
      </c>
      <c r="AM142">
        <f t="shared" si="25"/>
        <v>3</v>
      </c>
      <c r="AN142">
        <f t="shared" si="26"/>
        <v>4</v>
      </c>
      <c r="AO142">
        <f t="shared" si="27"/>
        <v>3</v>
      </c>
      <c r="AP142">
        <f t="shared" si="28"/>
        <v>1</v>
      </c>
      <c r="AQ142">
        <f t="shared" si="29"/>
        <v>3</v>
      </c>
      <c r="AS142" s="90">
        <v>4146</v>
      </c>
      <c r="AT142" s="90" t="s">
        <v>422</v>
      </c>
    </row>
    <row r="143" spans="1:46" ht="21" customHeight="1" thickBot="1">
      <c r="A143" s="88" t="s">
        <v>408</v>
      </c>
      <c r="B143" s="11" t="s">
        <v>409</v>
      </c>
      <c r="C143" s="89" t="s">
        <v>410</v>
      </c>
      <c r="D143" s="11">
        <v>3158561981</v>
      </c>
      <c r="E143" s="11" t="s">
        <v>411</v>
      </c>
      <c r="F143" s="11" t="s">
        <v>412</v>
      </c>
      <c r="G143" s="6"/>
      <c r="H143" s="6"/>
      <c r="I143" s="6"/>
      <c r="J143" s="6"/>
      <c r="K143" s="6"/>
      <c r="L143" s="6"/>
      <c r="M143" s="7" t="s">
        <v>38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4" t="s">
        <v>38</v>
      </c>
      <c r="AA143" s="4" t="s">
        <v>38</v>
      </c>
      <c r="AB143" s="4" t="s">
        <v>38</v>
      </c>
      <c r="AC143" s="6"/>
      <c r="AD143" s="4" t="s">
        <v>65</v>
      </c>
      <c r="AE143" s="8"/>
      <c r="AF143" s="6"/>
      <c r="AG143" s="7" t="s">
        <v>38</v>
      </c>
      <c r="AH143" s="6"/>
      <c r="AI143" s="6"/>
      <c r="AJ143" s="6"/>
      <c r="AL143">
        <f t="shared" si="24"/>
        <v>4</v>
      </c>
      <c r="AM143">
        <f t="shared" si="25"/>
        <v>0</v>
      </c>
      <c r="AN143">
        <f t="shared" si="26"/>
        <v>1</v>
      </c>
      <c r="AO143">
        <f t="shared" si="27"/>
        <v>3</v>
      </c>
      <c r="AP143">
        <f t="shared" si="28"/>
        <v>1</v>
      </c>
      <c r="AQ143">
        <f t="shared" si="29"/>
        <v>3</v>
      </c>
      <c r="AS143" s="90">
        <v>4146</v>
      </c>
      <c r="AT143" s="90" t="s">
        <v>422</v>
      </c>
    </row>
    <row r="144" spans="1:46" ht="21" customHeight="1" thickBot="1">
      <c r="A144" s="88" t="s">
        <v>408</v>
      </c>
      <c r="B144" s="11" t="s">
        <v>413</v>
      </c>
      <c r="C144" s="89" t="s">
        <v>414</v>
      </c>
      <c r="D144" s="11">
        <v>3216674108</v>
      </c>
      <c r="E144" s="11" t="s">
        <v>42</v>
      </c>
      <c r="F144" s="11" t="s">
        <v>415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 t="s">
        <v>38</v>
      </c>
      <c r="V144" s="6"/>
      <c r="W144" s="4" t="s">
        <v>38</v>
      </c>
      <c r="X144" s="6"/>
      <c r="Y144" s="4" t="s">
        <v>38</v>
      </c>
      <c r="Z144" s="4" t="s">
        <v>38</v>
      </c>
      <c r="AA144" s="4" t="s">
        <v>38</v>
      </c>
      <c r="AB144" s="4" t="s">
        <v>38</v>
      </c>
      <c r="AC144" s="4" t="s">
        <v>38</v>
      </c>
      <c r="AD144" s="4" t="s">
        <v>416</v>
      </c>
      <c r="AE144" s="8"/>
      <c r="AF144" s="6"/>
      <c r="AG144" s="6"/>
      <c r="AH144" s="6"/>
      <c r="AI144" s="7" t="s">
        <v>38</v>
      </c>
      <c r="AJ144" s="6"/>
      <c r="AL144">
        <f t="shared" si="24"/>
        <v>0</v>
      </c>
      <c r="AM144">
        <f t="shared" si="25"/>
        <v>4</v>
      </c>
      <c r="AN144">
        <f t="shared" si="26"/>
        <v>5</v>
      </c>
      <c r="AO144">
        <f t="shared" si="27"/>
        <v>6</v>
      </c>
      <c r="AP144">
        <f t="shared" si="28"/>
        <v>1</v>
      </c>
      <c r="AQ144">
        <f t="shared" si="29"/>
        <v>5</v>
      </c>
      <c r="AS144" s="90">
        <v>4146</v>
      </c>
      <c r="AT144" s="90" t="s">
        <v>422</v>
      </c>
    </row>
    <row r="145" spans="1:46" ht="21" customHeight="1" thickBot="1">
      <c r="A145" s="28" t="s">
        <v>417</v>
      </c>
      <c r="B145" s="4" t="s">
        <v>418</v>
      </c>
      <c r="C145" s="29" t="s">
        <v>419</v>
      </c>
      <c r="D145" s="4">
        <v>3163307515</v>
      </c>
      <c r="E145" s="4" t="s">
        <v>420</v>
      </c>
      <c r="F145" s="4" t="s">
        <v>421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 t="s">
        <v>38</v>
      </c>
      <c r="V145" s="6"/>
      <c r="W145" s="6"/>
      <c r="X145" s="6"/>
      <c r="Y145" s="6"/>
      <c r="Z145" s="6"/>
      <c r="AA145" s="4" t="s">
        <v>38</v>
      </c>
      <c r="AB145" s="6"/>
      <c r="AC145" s="6"/>
      <c r="AD145" s="4" t="s">
        <v>39</v>
      </c>
      <c r="AE145" s="8"/>
      <c r="AF145" s="6"/>
      <c r="AG145" s="6"/>
      <c r="AH145" s="6"/>
      <c r="AI145" s="7" t="s">
        <v>38</v>
      </c>
      <c r="AJ145" s="6"/>
      <c r="AL145">
        <f t="shared" si="24"/>
        <v>0</v>
      </c>
      <c r="AM145">
        <f t="shared" si="25"/>
        <v>4</v>
      </c>
      <c r="AN145">
        <f t="shared" si="26"/>
        <v>5</v>
      </c>
      <c r="AO145">
        <f t="shared" si="27"/>
        <v>1</v>
      </c>
      <c r="AP145">
        <f t="shared" si="28"/>
        <v>0</v>
      </c>
      <c r="AQ145">
        <f t="shared" si="29"/>
        <v>5</v>
      </c>
      <c r="AS145" s="90">
        <v>4146</v>
      </c>
      <c r="AT145" s="90" t="s">
        <v>422</v>
      </c>
    </row>
    <row r="146" spans="1:46" ht="21" customHeight="1" thickBot="1">
      <c r="A146" s="22" t="s">
        <v>434</v>
      </c>
      <c r="B146" s="23" t="s">
        <v>435</v>
      </c>
      <c r="C146" s="24" t="s">
        <v>436</v>
      </c>
      <c r="D146" s="23">
        <v>3116041649</v>
      </c>
      <c r="E146" s="23">
        <v>4</v>
      </c>
      <c r="F146" s="26">
        <v>45383</v>
      </c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5" t="s">
        <v>38</v>
      </c>
      <c r="U146" s="27"/>
      <c r="V146" s="27"/>
      <c r="W146" s="27"/>
      <c r="X146" s="27"/>
      <c r="Y146" s="23" t="s">
        <v>94</v>
      </c>
      <c r="Z146" s="23" t="s">
        <v>94</v>
      </c>
      <c r="AA146" s="23" t="s">
        <v>94</v>
      </c>
      <c r="AB146" s="27"/>
      <c r="AC146" s="27"/>
      <c r="AD146" s="23" t="s">
        <v>108</v>
      </c>
      <c r="AE146" s="32"/>
      <c r="AF146" s="27"/>
      <c r="AG146" s="27"/>
      <c r="AH146" s="25" t="s">
        <v>38</v>
      </c>
      <c r="AI146" s="27"/>
      <c r="AJ146" s="27"/>
      <c r="AL146">
        <f t="shared" si="24"/>
        <v>0</v>
      </c>
      <c r="AM146">
        <f t="shared" si="25"/>
        <v>3</v>
      </c>
      <c r="AN146">
        <f t="shared" si="26"/>
        <v>4</v>
      </c>
      <c r="AO146">
        <f t="shared" si="27"/>
        <v>3</v>
      </c>
      <c r="AP146">
        <f t="shared" si="28"/>
        <v>0</v>
      </c>
      <c r="AQ146">
        <f t="shared" si="29"/>
        <v>4</v>
      </c>
      <c r="AS146" s="90">
        <v>4148</v>
      </c>
      <c r="AT146" s="90" t="s">
        <v>446</v>
      </c>
    </row>
    <row r="147" spans="1:46" ht="21" customHeight="1" thickBot="1">
      <c r="A147" s="28" t="s">
        <v>437</v>
      </c>
      <c r="B147" s="4" t="s">
        <v>438</v>
      </c>
      <c r="C147" s="29" t="s">
        <v>439</v>
      </c>
      <c r="D147" s="4">
        <v>3105030756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4" t="s">
        <v>94</v>
      </c>
      <c r="Z147" s="4" t="s">
        <v>94</v>
      </c>
      <c r="AA147" s="4" t="s">
        <v>94</v>
      </c>
      <c r="AB147" s="6"/>
      <c r="AC147" s="6"/>
      <c r="AD147" s="4" t="s">
        <v>108</v>
      </c>
      <c r="AE147" s="8"/>
      <c r="AF147" s="6"/>
      <c r="AG147" s="6"/>
      <c r="AH147" s="6"/>
      <c r="AI147" s="6"/>
      <c r="AJ147" s="6"/>
      <c r="AL147">
        <f t="shared" si="24"/>
        <v>0</v>
      </c>
      <c r="AM147">
        <f t="shared" si="25"/>
        <v>0</v>
      </c>
      <c r="AN147" t="str">
        <f t="shared" si="26"/>
        <v/>
      </c>
      <c r="AO147">
        <f t="shared" si="27"/>
        <v>3</v>
      </c>
      <c r="AP147">
        <f t="shared" si="28"/>
        <v>0</v>
      </c>
      <c r="AQ147">
        <f t="shared" si="29"/>
        <v>0</v>
      </c>
      <c r="AS147" s="90">
        <v>4148</v>
      </c>
      <c r="AT147" s="90" t="s">
        <v>446</v>
      </c>
    </row>
    <row r="148" spans="1:46" ht="21" customHeight="1" thickBot="1">
      <c r="A148" s="28" t="s">
        <v>440</v>
      </c>
      <c r="B148" s="4" t="s">
        <v>441</v>
      </c>
      <c r="C148" s="30" t="s">
        <v>442</v>
      </c>
      <c r="D148" s="4">
        <v>3046279644</v>
      </c>
      <c r="E148" s="4">
        <v>4</v>
      </c>
      <c r="F148" s="5">
        <v>45413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 t="s">
        <v>38</v>
      </c>
      <c r="U148" s="6"/>
      <c r="V148" s="6"/>
      <c r="W148" s="6"/>
      <c r="X148" s="6"/>
      <c r="Y148" s="4" t="s">
        <v>94</v>
      </c>
      <c r="Z148" s="4" t="s">
        <v>94</v>
      </c>
      <c r="AA148" s="4" t="s">
        <v>94</v>
      </c>
      <c r="AB148" s="6"/>
      <c r="AC148" s="6"/>
      <c r="AD148" s="4" t="s">
        <v>416</v>
      </c>
      <c r="AE148" s="8"/>
      <c r="AF148" s="6"/>
      <c r="AG148" s="7" t="s">
        <v>94</v>
      </c>
      <c r="AH148" s="6"/>
      <c r="AI148" s="6"/>
      <c r="AJ148" s="6"/>
      <c r="AL148">
        <f t="shared" si="24"/>
        <v>0</v>
      </c>
      <c r="AM148">
        <f t="shared" si="25"/>
        <v>3</v>
      </c>
      <c r="AN148">
        <f t="shared" si="26"/>
        <v>4</v>
      </c>
      <c r="AO148">
        <f t="shared" si="27"/>
        <v>3</v>
      </c>
      <c r="AP148">
        <f t="shared" si="28"/>
        <v>1</v>
      </c>
      <c r="AQ148">
        <f t="shared" si="29"/>
        <v>3</v>
      </c>
      <c r="AS148" s="90">
        <v>4148</v>
      </c>
      <c r="AT148" s="90" t="s">
        <v>446</v>
      </c>
    </row>
    <row r="149" spans="1:46" ht="21" customHeight="1" thickBot="1">
      <c r="A149" s="28" t="s">
        <v>443</v>
      </c>
      <c r="B149" s="4" t="s">
        <v>444</v>
      </c>
      <c r="C149" s="30" t="s">
        <v>445</v>
      </c>
      <c r="D149" s="4">
        <v>3185022283</v>
      </c>
      <c r="E149" s="4">
        <v>1</v>
      </c>
      <c r="F149" s="5">
        <v>45689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 t="s">
        <v>38</v>
      </c>
      <c r="U149" s="6"/>
      <c r="V149" s="6"/>
      <c r="W149" s="6"/>
      <c r="X149" s="6"/>
      <c r="Y149" s="4" t="s">
        <v>94</v>
      </c>
      <c r="Z149" s="4" t="s">
        <v>94</v>
      </c>
      <c r="AA149" s="4" t="s">
        <v>94</v>
      </c>
      <c r="AB149" s="6"/>
      <c r="AC149" s="6"/>
      <c r="AD149" s="4" t="s">
        <v>416</v>
      </c>
      <c r="AE149" s="8"/>
      <c r="AF149" s="6"/>
      <c r="AG149" s="7" t="s">
        <v>94</v>
      </c>
      <c r="AH149" s="6"/>
      <c r="AI149" s="6"/>
      <c r="AJ149" s="6"/>
      <c r="AL149">
        <f t="shared" si="24"/>
        <v>0</v>
      </c>
      <c r="AM149">
        <f t="shared" si="25"/>
        <v>3</v>
      </c>
      <c r="AN149">
        <f t="shared" si="26"/>
        <v>4</v>
      </c>
      <c r="AO149">
        <f t="shared" si="27"/>
        <v>3</v>
      </c>
      <c r="AP149">
        <f t="shared" si="28"/>
        <v>1</v>
      </c>
      <c r="AQ149">
        <f t="shared" si="29"/>
        <v>3</v>
      </c>
      <c r="AS149" s="90">
        <v>4148</v>
      </c>
      <c r="AT149" s="90" t="s">
        <v>446</v>
      </c>
    </row>
    <row r="150" spans="1:46" ht="21" customHeight="1" thickTop="1" thickBot="1">
      <c r="A150" s="91" t="s">
        <v>447</v>
      </c>
      <c r="B150" s="92" t="s">
        <v>448</v>
      </c>
      <c r="C150" s="93" t="s">
        <v>449</v>
      </c>
      <c r="D150" s="94">
        <v>3186275578</v>
      </c>
      <c r="E150" s="94">
        <v>20</v>
      </c>
      <c r="F150" s="95">
        <v>43862</v>
      </c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7" t="s">
        <v>38</v>
      </c>
      <c r="V150" s="96"/>
      <c r="W150" s="92" t="s">
        <v>38</v>
      </c>
      <c r="X150" s="92" t="s">
        <v>38</v>
      </c>
      <c r="Y150" s="92" t="s">
        <v>38</v>
      </c>
      <c r="Z150" s="96"/>
      <c r="AA150" s="92" t="s">
        <v>38</v>
      </c>
      <c r="AB150" s="92" t="s">
        <v>38</v>
      </c>
      <c r="AC150" s="92" t="s">
        <v>38</v>
      </c>
      <c r="AD150" s="97" t="s">
        <v>416</v>
      </c>
      <c r="AE150" s="98"/>
      <c r="AF150" s="99"/>
      <c r="AG150" s="99"/>
      <c r="AH150" s="99"/>
      <c r="AI150" s="100" t="s">
        <v>38</v>
      </c>
      <c r="AJ150" s="99"/>
      <c r="AL150">
        <f t="shared" si="24"/>
        <v>0</v>
      </c>
      <c r="AM150">
        <f t="shared" si="25"/>
        <v>4</v>
      </c>
      <c r="AN150">
        <f t="shared" si="26"/>
        <v>5</v>
      </c>
      <c r="AO150">
        <f t="shared" si="27"/>
        <v>6</v>
      </c>
      <c r="AP150">
        <f t="shared" si="28"/>
        <v>1</v>
      </c>
      <c r="AQ150">
        <f t="shared" si="29"/>
        <v>5</v>
      </c>
      <c r="AS150" s="90">
        <v>4171</v>
      </c>
      <c r="AT150" s="90" t="s">
        <v>464</v>
      </c>
    </row>
    <row r="151" spans="1:46" ht="21" customHeight="1" thickTop="1" thickBot="1">
      <c r="A151" s="101" t="s">
        <v>450</v>
      </c>
      <c r="B151" s="102" t="s">
        <v>451</v>
      </c>
      <c r="C151" s="103" t="s">
        <v>452</v>
      </c>
      <c r="D151" s="104">
        <v>3148620057</v>
      </c>
      <c r="E151" s="104">
        <v>7</v>
      </c>
      <c r="F151" s="105">
        <v>45870</v>
      </c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7" t="s">
        <v>38</v>
      </c>
      <c r="U151" s="106"/>
      <c r="V151" s="106"/>
      <c r="W151" s="106"/>
      <c r="X151" s="106"/>
      <c r="Y151" s="106"/>
      <c r="Z151" s="102" t="s">
        <v>38</v>
      </c>
      <c r="AA151" s="102" t="s">
        <v>38</v>
      </c>
      <c r="AB151" s="106"/>
      <c r="AC151" s="106"/>
      <c r="AD151" s="107" t="s">
        <v>416</v>
      </c>
      <c r="AE151" s="108"/>
      <c r="AF151" s="109"/>
      <c r="AG151" s="109"/>
      <c r="AH151" s="109"/>
      <c r="AI151" s="110" t="s">
        <v>38</v>
      </c>
      <c r="AJ151" s="109"/>
      <c r="AL151">
        <f t="shared" si="24"/>
        <v>0</v>
      </c>
      <c r="AM151">
        <f t="shared" si="25"/>
        <v>3</v>
      </c>
      <c r="AN151">
        <f t="shared" si="26"/>
        <v>4</v>
      </c>
      <c r="AO151">
        <f t="shared" si="27"/>
        <v>2</v>
      </c>
      <c r="AP151">
        <f t="shared" si="28"/>
        <v>1</v>
      </c>
      <c r="AQ151">
        <f t="shared" si="29"/>
        <v>5</v>
      </c>
      <c r="AS151" s="90">
        <v>4171</v>
      </c>
      <c r="AT151" s="90" t="s">
        <v>464</v>
      </c>
    </row>
    <row r="152" spans="1:46" ht="21" customHeight="1" thickTop="1" thickBot="1">
      <c r="A152" s="101" t="s">
        <v>447</v>
      </c>
      <c r="B152" s="102" t="s">
        <v>453</v>
      </c>
      <c r="C152" s="103" t="s">
        <v>454</v>
      </c>
      <c r="D152" s="104">
        <v>3173691933</v>
      </c>
      <c r="E152" s="104">
        <v>6</v>
      </c>
      <c r="F152" s="105">
        <v>45444</v>
      </c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7" t="s">
        <v>38</v>
      </c>
      <c r="U152" s="106"/>
      <c r="V152" s="106"/>
      <c r="W152" s="106"/>
      <c r="X152" s="102" t="s">
        <v>38</v>
      </c>
      <c r="Y152" s="106"/>
      <c r="Z152" s="102" t="s">
        <v>38</v>
      </c>
      <c r="AA152" s="102" t="s">
        <v>38</v>
      </c>
      <c r="AB152" s="106"/>
      <c r="AC152" s="106"/>
      <c r="AD152" s="107" t="s">
        <v>416</v>
      </c>
      <c r="AE152" s="108"/>
      <c r="AF152" s="109"/>
      <c r="AG152" s="109"/>
      <c r="AH152" s="109"/>
      <c r="AI152" s="110" t="s">
        <v>38</v>
      </c>
      <c r="AJ152" s="109"/>
      <c r="AL152">
        <f t="shared" si="24"/>
        <v>0</v>
      </c>
      <c r="AM152">
        <f t="shared" si="25"/>
        <v>3</v>
      </c>
      <c r="AN152">
        <f t="shared" si="26"/>
        <v>4</v>
      </c>
      <c r="AO152">
        <f t="shared" si="27"/>
        <v>3</v>
      </c>
      <c r="AP152">
        <f t="shared" si="28"/>
        <v>1</v>
      </c>
      <c r="AQ152">
        <f t="shared" si="29"/>
        <v>5</v>
      </c>
      <c r="AS152" s="90">
        <v>4171</v>
      </c>
      <c r="AT152" s="90" t="s">
        <v>464</v>
      </c>
    </row>
    <row r="153" spans="1:46" ht="21" customHeight="1" thickTop="1" thickBot="1">
      <c r="A153" s="101" t="s">
        <v>447</v>
      </c>
      <c r="B153" s="102" t="s">
        <v>455</v>
      </c>
      <c r="C153" s="103" t="s">
        <v>456</v>
      </c>
      <c r="D153" s="104">
        <v>3178173729</v>
      </c>
      <c r="E153" s="104">
        <v>12</v>
      </c>
      <c r="F153" s="105">
        <v>44652</v>
      </c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7" t="s">
        <v>38</v>
      </c>
      <c r="U153" s="106"/>
      <c r="V153" s="106"/>
      <c r="W153" s="106"/>
      <c r="X153" s="106"/>
      <c r="Y153" s="102" t="s">
        <v>38</v>
      </c>
      <c r="Z153" s="106"/>
      <c r="AA153" s="102" t="s">
        <v>38</v>
      </c>
      <c r="AB153" s="102" t="s">
        <v>38</v>
      </c>
      <c r="AC153" s="106"/>
      <c r="AD153" s="107" t="s">
        <v>416</v>
      </c>
      <c r="AE153" s="108"/>
      <c r="AF153" s="109"/>
      <c r="AG153" s="109"/>
      <c r="AH153" s="109"/>
      <c r="AI153" s="110" t="s">
        <v>38</v>
      </c>
      <c r="AJ153" s="109"/>
      <c r="AL153">
        <f t="shared" si="24"/>
        <v>0</v>
      </c>
      <c r="AM153">
        <f t="shared" si="25"/>
        <v>3</v>
      </c>
      <c r="AN153">
        <f t="shared" si="26"/>
        <v>4</v>
      </c>
      <c r="AO153">
        <f t="shared" si="27"/>
        <v>3</v>
      </c>
      <c r="AP153">
        <f t="shared" si="28"/>
        <v>1</v>
      </c>
      <c r="AQ153">
        <f t="shared" si="29"/>
        <v>5</v>
      </c>
      <c r="AS153" s="90">
        <v>4171</v>
      </c>
      <c r="AT153" s="90" t="s">
        <v>464</v>
      </c>
    </row>
    <row r="154" spans="1:46" ht="21" customHeight="1" thickTop="1" thickBot="1">
      <c r="A154" s="101" t="s">
        <v>450</v>
      </c>
      <c r="B154" s="102" t="s">
        <v>457</v>
      </c>
      <c r="C154" s="103" t="s">
        <v>458</v>
      </c>
      <c r="D154" s="104">
        <v>3167557245</v>
      </c>
      <c r="E154" s="104">
        <v>19</v>
      </c>
      <c r="F154" s="105">
        <v>43983</v>
      </c>
      <c r="G154" s="106"/>
      <c r="H154" s="106"/>
      <c r="I154" s="106"/>
      <c r="J154" s="107" t="s">
        <v>38</v>
      </c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2" t="s">
        <v>38</v>
      </c>
      <c r="Y154" s="102" t="s">
        <v>38</v>
      </c>
      <c r="Z154" s="102" t="s">
        <v>38</v>
      </c>
      <c r="AA154" s="102" t="s">
        <v>38</v>
      </c>
      <c r="AB154" s="102" t="s">
        <v>38</v>
      </c>
      <c r="AC154" s="106"/>
      <c r="AD154" s="107" t="s">
        <v>416</v>
      </c>
      <c r="AE154" s="108"/>
      <c r="AF154" s="109"/>
      <c r="AG154" s="110" t="s">
        <v>38</v>
      </c>
      <c r="AH154" s="109"/>
      <c r="AI154" s="109"/>
      <c r="AJ154" s="109"/>
      <c r="AL154">
        <f t="shared" si="24"/>
        <v>4</v>
      </c>
      <c r="AM154">
        <f t="shared" si="25"/>
        <v>0</v>
      </c>
      <c r="AN154">
        <f t="shared" si="26"/>
        <v>1</v>
      </c>
      <c r="AO154">
        <f t="shared" si="27"/>
        <v>5</v>
      </c>
      <c r="AP154">
        <f t="shared" si="28"/>
        <v>1</v>
      </c>
      <c r="AQ154">
        <f t="shared" si="29"/>
        <v>3</v>
      </c>
      <c r="AS154" s="90">
        <v>4171</v>
      </c>
      <c r="AT154" s="90" t="s">
        <v>464</v>
      </c>
    </row>
    <row r="155" spans="1:46" ht="21" customHeight="1" thickTop="1" thickBot="1">
      <c r="A155" s="101" t="s">
        <v>450</v>
      </c>
      <c r="B155" s="102" t="s">
        <v>459</v>
      </c>
      <c r="C155" s="103" t="s">
        <v>460</v>
      </c>
      <c r="D155" s="104">
        <v>3045454359</v>
      </c>
      <c r="E155" s="104">
        <v>7</v>
      </c>
      <c r="F155" s="105">
        <v>45597</v>
      </c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7" t="s">
        <v>38</v>
      </c>
      <c r="U155" s="106"/>
      <c r="V155" s="106"/>
      <c r="W155" s="106"/>
      <c r="X155" s="106"/>
      <c r="Y155" s="102" t="s">
        <v>38</v>
      </c>
      <c r="Z155" s="102" t="s">
        <v>38</v>
      </c>
      <c r="AA155" s="102" t="s">
        <v>38</v>
      </c>
      <c r="AB155" s="102" t="s">
        <v>38</v>
      </c>
      <c r="AC155" s="106"/>
      <c r="AD155" s="107" t="s">
        <v>65</v>
      </c>
      <c r="AE155" s="108"/>
      <c r="AF155" s="109"/>
      <c r="AG155" s="110" t="s">
        <v>38</v>
      </c>
      <c r="AH155" s="109"/>
      <c r="AI155" s="109"/>
      <c r="AJ155" s="109"/>
      <c r="AL155">
        <f t="shared" si="24"/>
        <v>0</v>
      </c>
      <c r="AM155">
        <f t="shared" si="25"/>
        <v>3</v>
      </c>
      <c r="AN155">
        <f t="shared" si="26"/>
        <v>4</v>
      </c>
      <c r="AO155">
        <f t="shared" si="27"/>
        <v>4</v>
      </c>
      <c r="AP155">
        <f t="shared" si="28"/>
        <v>1</v>
      </c>
      <c r="AQ155">
        <f t="shared" si="29"/>
        <v>3</v>
      </c>
      <c r="AS155" s="90">
        <v>4171</v>
      </c>
      <c r="AT155" s="90" t="s">
        <v>464</v>
      </c>
    </row>
    <row r="156" spans="1:46" ht="21" customHeight="1" thickTop="1" thickBot="1">
      <c r="A156" s="101" t="s">
        <v>450</v>
      </c>
      <c r="B156" s="102" t="s">
        <v>461</v>
      </c>
      <c r="C156" s="103" t="s">
        <v>462</v>
      </c>
      <c r="D156" s="104">
        <v>3206362402</v>
      </c>
      <c r="E156" s="104">
        <v>7</v>
      </c>
      <c r="F156" s="105">
        <v>45474</v>
      </c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7" t="s">
        <v>38</v>
      </c>
      <c r="U156" s="106"/>
      <c r="V156" s="106"/>
      <c r="W156" s="106"/>
      <c r="X156" s="106"/>
      <c r="Y156" s="102" t="s">
        <v>38</v>
      </c>
      <c r="Z156" s="102" t="s">
        <v>38</v>
      </c>
      <c r="AA156" s="102" t="s">
        <v>38</v>
      </c>
      <c r="AB156" s="102" t="s">
        <v>38</v>
      </c>
      <c r="AC156" s="106"/>
      <c r="AD156" s="107" t="s">
        <v>463</v>
      </c>
      <c r="AE156" s="108"/>
      <c r="AF156" s="109"/>
      <c r="AG156" s="110" t="s">
        <v>38</v>
      </c>
      <c r="AH156" s="109"/>
      <c r="AI156" s="109"/>
      <c r="AJ156" s="109"/>
      <c r="AL156">
        <f t="shared" si="24"/>
        <v>0</v>
      </c>
      <c r="AM156">
        <f t="shared" si="25"/>
        <v>3</v>
      </c>
      <c r="AN156">
        <f t="shared" si="26"/>
        <v>4</v>
      </c>
      <c r="AO156">
        <f t="shared" si="27"/>
        <v>4</v>
      </c>
      <c r="AP156">
        <f t="shared" si="28"/>
        <v>0</v>
      </c>
      <c r="AQ156">
        <f t="shared" si="29"/>
        <v>3</v>
      </c>
      <c r="AS156" s="90">
        <v>4171</v>
      </c>
      <c r="AT156" s="90" t="s">
        <v>464</v>
      </c>
    </row>
    <row r="157" spans="1:46" ht="21" customHeight="1" thickTop="1" thickBot="1">
      <c r="A157" s="111" t="s">
        <v>465</v>
      </c>
      <c r="B157" s="112" t="s">
        <v>466</v>
      </c>
      <c r="C157" s="113" t="s">
        <v>467</v>
      </c>
      <c r="D157" s="112">
        <v>3104130080</v>
      </c>
      <c r="E157" s="114">
        <v>12</v>
      </c>
      <c r="F157" s="115">
        <v>45839</v>
      </c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114" t="s">
        <v>94</v>
      </c>
      <c r="V157" s="112" t="s">
        <v>94</v>
      </c>
      <c r="W157" s="112" t="s">
        <v>94</v>
      </c>
      <c r="X157" s="112" t="s">
        <v>94</v>
      </c>
      <c r="Y157" s="112" t="s">
        <v>94</v>
      </c>
      <c r="Z157" s="112" t="s">
        <v>94</v>
      </c>
      <c r="AA157" s="112" t="s">
        <v>94</v>
      </c>
      <c r="AB157" s="112" t="s">
        <v>94</v>
      </c>
      <c r="AC157" s="112" t="s">
        <v>94</v>
      </c>
      <c r="AD157" s="112" t="s">
        <v>416</v>
      </c>
      <c r="AE157" s="27"/>
      <c r="AF157" s="32"/>
      <c r="AG157" s="27"/>
      <c r="AH157" s="27"/>
      <c r="AI157" s="114" t="s">
        <v>94</v>
      </c>
      <c r="AJ157" s="27"/>
      <c r="AL157">
        <f t="shared" si="24"/>
        <v>0</v>
      </c>
      <c r="AM157">
        <f t="shared" si="25"/>
        <v>4</v>
      </c>
      <c r="AN157">
        <f t="shared" si="26"/>
        <v>5</v>
      </c>
      <c r="AO157">
        <f t="shared" si="27"/>
        <v>8</v>
      </c>
      <c r="AP157">
        <f t="shared" si="28"/>
        <v>1</v>
      </c>
      <c r="AQ157">
        <f t="shared" si="29"/>
        <v>5</v>
      </c>
      <c r="AS157" s="90">
        <v>4162</v>
      </c>
      <c r="AT157" s="90" t="s">
        <v>504</v>
      </c>
    </row>
    <row r="158" spans="1:46" ht="21" customHeight="1" thickBot="1">
      <c r="A158" s="1" t="s">
        <v>468</v>
      </c>
      <c r="B158" s="2" t="s">
        <v>469</v>
      </c>
      <c r="C158" s="2" t="s">
        <v>470</v>
      </c>
      <c r="D158" s="2">
        <v>3164035224</v>
      </c>
      <c r="E158" s="9">
        <v>20</v>
      </c>
      <c r="F158" s="116">
        <v>36526</v>
      </c>
      <c r="G158" s="9" t="s">
        <v>94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2" t="s">
        <v>94</v>
      </c>
      <c r="W158" s="2" t="s">
        <v>94</v>
      </c>
      <c r="X158" s="2" t="s">
        <v>94</v>
      </c>
      <c r="Y158" s="2" t="s">
        <v>94</v>
      </c>
      <c r="Z158" s="6"/>
      <c r="AA158" s="6"/>
      <c r="AB158" s="6"/>
      <c r="AC158" s="6"/>
      <c r="AD158" s="2" t="s">
        <v>471</v>
      </c>
      <c r="AE158" s="6"/>
      <c r="AF158" s="8"/>
      <c r="AG158" s="9" t="s">
        <v>94</v>
      </c>
      <c r="AH158" s="6"/>
      <c r="AI158" s="6"/>
      <c r="AJ158" s="6"/>
      <c r="AL158">
        <f t="shared" si="24"/>
        <v>1</v>
      </c>
      <c r="AM158">
        <f t="shared" si="25"/>
        <v>0</v>
      </c>
      <c r="AN158">
        <f t="shared" si="26"/>
        <v>1</v>
      </c>
      <c r="AO158">
        <f t="shared" si="27"/>
        <v>4</v>
      </c>
      <c r="AP158">
        <f t="shared" si="28"/>
        <v>0</v>
      </c>
      <c r="AQ158">
        <f t="shared" si="29"/>
        <v>3</v>
      </c>
      <c r="AS158" s="90">
        <v>4162</v>
      </c>
      <c r="AT158" s="90" t="s">
        <v>504</v>
      </c>
    </row>
    <row r="159" spans="1:46" ht="21" customHeight="1" thickBot="1">
      <c r="A159" s="1" t="s">
        <v>472</v>
      </c>
      <c r="B159" s="117" t="s">
        <v>473</v>
      </c>
      <c r="C159" s="30" t="s">
        <v>474</v>
      </c>
      <c r="D159" s="2">
        <v>3206183477</v>
      </c>
      <c r="E159" s="9">
        <v>10</v>
      </c>
      <c r="F159" s="116">
        <v>42491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2" t="s">
        <v>94</v>
      </c>
      <c r="W159" s="2" t="s">
        <v>94</v>
      </c>
      <c r="X159" s="2" t="s">
        <v>94</v>
      </c>
      <c r="Y159" s="2" t="s">
        <v>94</v>
      </c>
      <c r="Z159" s="6"/>
      <c r="AA159" s="6"/>
      <c r="AB159" s="6"/>
      <c r="AC159" s="6"/>
      <c r="AD159" s="2" t="s">
        <v>475</v>
      </c>
      <c r="AE159" s="6"/>
      <c r="AF159" s="8"/>
      <c r="AG159" s="9" t="s">
        <v>94</v>
      </c>
      <c r="AH159" s="6"/>
      <c r="AI159" s="6"/>
      <c r="AJ159" s="6"/>
      <c r="AL159">
        <f t="shared" si="24"/>
        <v>0</v>
      </c>
      <c r="AM159">
        <f t="shared" si="25"/>
        <v>0</v>
      </c>
      <c r="AN159" t="str">
        <f t="shared" si="26"/>
        <v/>
      </c>
      <c r="AO159">
        <f t="shared" si="27"/>
        <v>4</v>
      </c>
      <c r="AP159">
        <f t="shared" si="28"/>
        <v>0</v>
      </c>
      <c r="AQ159">
        <f t="shared" si="29"/>
        <v>3</v>
      </c>
      <c r="AS159" s="90">
        <v>4162</v>
      </c>
      <c r="AT159" s="90" t="s">
        <v>504</v>
      </c>
    </row>
    <row r="160" spans="1:46" ht="21" customHeight="1" thickBot="1">
      <c r="A160" s="1" t="s">
        <v>476</v>
      </c>
      <c r="B160" s="117" t="s">
        <v>477</v>
      </c>
      <c r="C160" s="30" t="s">
        <v>478</v>
      </c>
      <c r="D160" s="2">
        <v>3173192443</v>
      </c>
      <c r="E160" s="9">
        <v>10</v>
      </c>
      <c r="F160" s="116">
        <v>41699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9" t="s">
        <v>94</v>
      </c>
      <c r="U160" s="6"/>
      <c r="V160" s="2" t="s">
        <v>94</v>
      </c>
      <c r="W160" s="2" t="s">
        <v>94</v>
      </c>
      <c r="X160" s="2" t="s">
        <v>94</v>
      </c>
      <c r="Y160" s="2" t="s">
        <v>94</v>
      </c>
      <c r="Z160" s="6"/>
      <c r="AA160" s="6"/>
      <c r="AB160" s="6"/>
      <c r="AC160" s="6"/>
      <c r="AD160" s="2" t="s">
        <v>479</v>
      </c>
      <c r="AE160" s="6"/>
      <c r="AF160" s="8"/>
      <c r="AG160" s="9" t="s">
        <v>94</v>
      </c>
      <c r="AH160" s="6"/>
      <c r="AI160" s="6"/>
      <c r="AJ160" s="6"/>
      <c r="AL160">
        <f t="shared" ref="AL160:AL223" si="30">IFERROR(CHOOSE(MATCH("X",G160:Q160,0),1,2,3,4,4,4,4,4,4,4,5,6),0)</f>
        <v>0</v>
      </c>
      <c r="AM160">
        <f t="shared" ref="AM160:AM223" si="31">IFERROR(MATCH("X",R160:U160,0),0)</f>
        <v>3</v>
      </c>
      <c r="AN160">
        <f t="shared" ref="AN160:AN223" si="32">IF(AL160&gt;0,1,IF(AM160&gt;0,AM160+1,""))</f>
        <v>4</v>
      </c>
      <c r="AO160">
        <f t="shared" ref="AO160:AO223" si="33">COUNTIF(V160:AC160,"X")</f>
        <v>4</v>
      </c>
      <c r="AP160">
        <f t="shared" ref="AP160:AP223" si="34">IF(AD160="SI",1,0)</f>
        <v>0</v>
      </c>
      <c r="AQ160">
        <f t="shared" ref="AQ160:AQ223" si="35">IFERROR(MATCH("X",AE160:AJ160,0),0)</f>
        <v>3</v>
      </c>
      <c r="AS160" s="90">
        <v>4162</v>
      </c>
      <c r="AT160" s="90" t="s">
        <v>504</v>
      </c>
    </row>
    <row r="161" spans="1:46" ht="21" customHeight="1" thickBot="1">
      <c r="A161" s="1" t="s">
        <v>480</v>
      </c>
      <c r="B161" s="2" t="s">
        <v>481</v>
      </c>
      <c r="C161" s="30" t="s">
        <v>482</v>
      </c>
      <c r="D161" s="2">
        <v>3043372931</v>
      </c>
      <c r="E161" s="9">
        <v>10</v>
      </c>
      <c r="F161" s="116">
        <v>42856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9" t="s">
        <v>94</v>
      </c>
      <c r="V161" s="6"/>
      <c r="W161" s="6"/>
      <c r="X161" s="6"/>
      <c r="Y161" s="6"/>
      <c r="Z161" s="6"/>
      <c r="AA161" s="6"/>
      <c r="AB161" s="6"/>
      <c r="AC161" s="6"/>
      <c r="AD161" s="2" t="s">
        <v>483</v>
      </c>
      <c r="AE161" s="6"/>
      <c r="AF161" s="8"/>
      <c r="AG161" s="6"/>
      <c r="AH161" s="9" t="s">
        <v>94</v>
      </c>
      <c r="AI161" s="6"/>
      <c r="AJ161" s="6"/>
      <c r="AL161">
        <f t="shared" si="30"/>
        <v>0</v>
      </c>
      <c r="AM161">
        <f t="shared" si="31"/>
        <v>4</v>
      </c>
      <c r="AN161">
        <f t="shared" si="32"/>
        <v>5</v>
      </c>
      <c r="AO161">
        <f t="shared" si="33"/>
        <v>0</v>
      </c>
      <c r="AP161">
        <f t="shared" si="34"/>
        <v>0</v>
      </c>
      <c r="AQ161">
        <f t="shared" si="35"/>
        <v>4</v>
      </c>
      <c r="AS161" s="90">
        <v>4162</v>
      </c>
      <c r="AT161" s="90" t="s">
        <v>504</v>
      </c>
    </row>
    <row r="162" spans="1:46" ht="21" customHeight="1" thickBot="1">
      <c r="A162" s="118" t="s">
        <v>484</v>
      </c>
      <c r="B162" s="119" t="s">
        <v>485</v>
      </c>
      <c r="C162" s="120" t="s">
        <v>486</v>
      </c>
      <c r="D162" s="119">
        <v>3113919174</v>
      </c>
      <c r="E162" s="10">
        <v>20</v>
      </c>
      <c r="F162" s="121">
        <v>42491</v>
      </c>
      <c r="G162" s="9" t="s">
        <v>94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2" t="s">
        <v>487</v>
      </c>
      <c r="AE162" s="6"/>
      <c r="AF162" s="8"/>
      <c r="AG162" s="9" t="s">
        <v>94</v>
      </c>
      <c r="AH162" s="6"/>
      <c r="AI162" s="6"/>
      <c r="AJ162" s="6"/>
      <c r="AL162">
        <f t="shared" si="30"/>
        <v>1</v>
      </c>
      <c r="AM162">
        <f t="shared" si="31"/>
        <v>0</v>
      </c>
      <c r="AN162">
        <f t="shared" si="32"/>
        <v>1</v>
      </c>
      <c r="AO162">
        <f t="shared" si="33"/>
        <v>0</v>
      </c>
      <c r="AP162">
        <f t="shared" si="34"/>
        <v>0</v>
      </c>
      <c r="AQ162">
        <f t="shared" si="35"/>
        <v>3</v>
      </c>
      <c r="AS162" s="90">
        <v>4162</v>
      </c>
      <c r="AT162" s="90" t="s">
        <v>504</v>
      </c>
    </row>
    <row r="163" spans="1:46" ht="21" customHeight="1" thickBot="1">
      <c r="A163" s="1" t="s">
        <v>488</v>
      </c>
      <c r="B163" s="117" t="s">
        <v>489</v>
      </c>
      <c r="C163" s="122" t="s">
        <v>490</v>
      </c>
      <c r="D163" s="2">
        <v>3023885039</v>
      </c>
      <c r="E163" s="9">
        <v>8</v>
      </c>
      <c r="F163" s="116">
        <v>42430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9" t="s">
        <v>94</v>
      </c>
      <c r="V163" s="2" t="s">
        <v>94</v>
      </c>
      <c r="W163" s="2" t="s">
        <v>94</v>
      </c>
      <c r="X163" s="2" t="s">
        <v>94</v>
      </c>
      <c r="Y163" s="2" t="s">
        <v>94</v>
      </c>
      <c r="Z163" s="6"/>
      <c r="AA163" s="6"/>
      <c r="AB163" s="6"/>
      <c r="AC163" s="6"/>
      <c r="AD163" s="2" t="s">
        <v>491</v>
      </c>
      <c r="AE163" s="6"/>
      <c r="AF163" s="8"/>
      <c r="AG163" s="6"/>
      <c r="AH163" s="9" t="s">
        <v>94</v>
      </c>
      <c r="AI163" s="6"/>
      <c r="AJ163" s="6"/>
      <c r="AL163">
        <f t="shared" si="30"/>
        <v>0</v>
      </c>
      <c r="AM163">
        <f t="shared" si="31"/>
        <v>4</v>
      </c>
      <c r="AN163">
        <f t="shared" si="32"/>
        <v>5</v>
      </c>
      <c r="AO163">
        <f t="shared" si="33"/>
        <v>4</v>
      </c>
      <c r="AP163">
        <f t="shared" si="34"/>
        <v>0</v>
      </c>
      <c r="AQ163">
        <f t="shared" si="35"/>
        <v>4</v>
      </c>
      <c r="AS163" s="90">
        <v>4162</v>
      </c>
      <c r="AT163" s="90" t="s">
        <v>504</v>
      </c>
    </row>
    <row r="164" spans="1:46" ht="21" customHeight="1" thickBot="1">
      <c r="A164" s="1" t="s">
        <v>492</v>
      </c>
      <c r="B164" s="117" t="s">
        <v>493</v>
      </c>
      <c r="C164" s="30" t="s">
        <v>494</v>
      </c>
      <c r="D164" s="2">
        <v>3154150552</v>
      </c>
      <c r="E164" s="9">
        <v>10</v>
      </c>
      <c r="F164" s="116">
        <v>43191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9" t="s">
        <v>94</v>
      </c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8"/>
      <c r="AG164" s="6"/>
      <c r="AH164" s="9" t="s">
        <v>94</v>
      </c>
      <c r="AI164" s="6"/>
      <c r="AJ164" s="6"/>
      <c r="AL164">
        <f t="shared" si="30"/>
        <v>0</v>
      </c>
      <c r="AM164">
        <f t="shared" si="31"/>
        <v>4</v>
      </c>
      <c r="AN164">
        <f t="shared" si="32"/>
        <v>5</v>
      </c>
      <c r="AO164">
        <f t="shared" si="33"/>
        <v>0</v>
      </c>
      <c r="AP164">
        <f t="shared" si="34"/>
        <v>0</v>
      </c>
      <c r="AQ164">
        <f t="shared" si="35"/>
        <v>4</v>
      </c>
      <c r="AS164" s="90">
        <v>4162</v>
      </c>
      <c r="AT164" s="90" t="s">
        <v>504</v>
      </c>
    </row>
    <row r="165" spans="1:46" ht="21" customHeight="1" thickBot="1">
      <c r="A165" s="1" t="s">
        <v>495</v>
      </c>
      <c r="B165" s="2" t="s">
        <v>496</v>
      </c>
      <c r="C165" s="30" t="s">
        <v>497</v>
      </c>
      <c r="D165" s="2">
        <v>3174556565</v>
      </c>
      <c r="E165" s="9">
        <v>4</v>
      </c>
      <c r="F165" s="116">
        <v>45323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9" t="s">
        <v>94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8"/>
      <c r="AG165" s="6"/>
      <c r="AH165" s="6"/>
      <c r="AI165" s="9" t="s">
        <v>94</v>
      </c>
      <c r="AJ165" s="6"/>
      <c r="AL165">
        <f t="shared" si="30"/>
        <v>0</v>
      </c>
      <c r="AM165">
        <f t="shared" si="31"/>
        <v>4</v>
      </c>
      <c r="AN165">
        <f t="shared" si="32"/>
        <v>5</v>
      </c>
      <c r="AO165">
        <f t="shared" si="33"/>
        <v>0</v>
      </c>
      <c r="AP165">
        <f t="shared" si="34"/>
        <v>0</v>
      </c>
      <c r="AQ165">
        <f t="shared" si="35"/>
        <v>5</v>
      </c>
      <c r="AS165" s="90">
        <v>4162</v>
      </c>
      <c r="AT165" s="90" t="s">
        <v>504</v>
      </c>
    </row>
    <row r="166" spans="1:46" ht="21" customHeight="1" thickBot="1">
      <c r="A166" s="1" t="s">
        <v>498</v>
      </c>
      <c r="B166" s="2" t="s">
        <v>499</v>
      </c>
      <c r="C166" s="30" t="s">
        <v>500</v>
      </c>
      <c r="D166" s="2">
        <v>3162582004</v>
      </c>
      <c r="E166" s="9">
        <v>10</v>
      </c>
      <c r="F166" s="116">
        <v>43891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9" t="s">
        <v>94</v>
      </c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8"/>
      <c r="AG166" s="9" t="s">
        <v>94</v>
      </c>
      <c r="AH166" s="6"/>
      <c r="AI166" s="6"/>
      <c r="AJ166" s="6"/>
      <c r="AL166">
        <f t="shared" si="30"/>
        <v>0</v>
      </c>
      <c r="AM166">
        <f t="shared" si="31"/>
        <v>3</v>
      </c>
      <c r="AN166">
        <f t="shared" si="32"/>
        <v>4</v>
      </c>
      <c r="AO166">
        <f t="shared" si="33"/>
        <v>0</v>
      </c>
      <c r="AP166">
        <f t="shared" si="34"/>
        <v>0</v>
      </c>
      <c r="AQ166">
        <f t="shared" si="35"/>
        <v>3</v>
      </c>
      <c r="AS166" s="90">
        <v>4162</v>
      </c>
      <c r="AT166" s="90" t="s">
        <v>504</v>
      </c>
    </row>
    <row r="167" spans="1:46" ht="21" customHeight="1" thickBot="1">
      <c r="A167" s="1" t="s">
        <v>501</v>
      </c>
      <c r="B167" s="2" t="s">
        <v>502</v>
      </c>
      <c r="C167" s="30" t="s">
        <v>503</v>
      </c>
      <c r="D167" s="2">
        <v>3137183647</v>
      </c>
      <c r="E167" s="9">
        <v>26</v>
      </c>
      <c r="F167" s="116">
        <v>43132</v>
      </c>
      <c r="G167" s="9" t="s">
        <v>94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8"/>
      <c r="AG167" s="9" t="s">
        <v>94</v>
      </c>
      <c r="AH167" s="6"/>
      <c r="AI167" s="6"/>
      <c r="AJ167" s="6"/>
      <c r="AL167">
        <f t="shared" si="30"/>
        <v>1</v>
      </c>
      <c r="AM167">
        <f t="shared" si="31"/>
        <v>0</v>
      </c>
      <c r="AN167">
        <f t="shared" si="32"/>
        <v>1</v>
      </c>
      <c r="AO167">
        <f t="shared" si="33"/>
        <v>0</v>
      </c>
      <c r="AP167">
        <f t="shared" si="34"/>
        <v>0</v>
      </c>
      <c r="AQ167">
        <f t="shared" si="35"/>
        <v>3</v>
      </c>
      <c r="AS167" s="90">
        <v>4162</v>
      </c>
      <c r="AT167" s="90" t="s">
        <v>504</v>
      </c>
    </row>
    <row r="168" spans="1:46" ht="21" customHeight="1" thickBot="1">
      <c r="A168" s="22" t="s">
        <v>505</v>
      </c>
      <c r="B168" s="37" t="s">
        <v>506</v>
      </c>
      <c r="C168" s="114" t="s">
        <v>507</v>
      </c>
      <c r="D168" s="23">
        <v>3012768588</v>
      </c>
      <c r="E168" s="25">
        <v>15</v>
      </c>
      <c r="F168" s="55">
        <v>43132</v>
      </c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5" t="s">
        <v>38</v>
      </c>
      <c r="T168" s="27"/>
      <c r="U168" s="27"/>
      <c r="V168" s="27"/>
      <c r="W168" s="27"/>
      <c r="X168" s="27"/>
      <c r="Y168" s="23" t="s">
        <v>38</v>
      </c>
      <c r="Z168" s="23" t="s">
        <v>38</v>
      </c>
      <c r="AA168" s="27"/>
      <c r="AB168" s="27"/>
      <c r="AC168" s="27"/>
      <c r="AD168" s="25" t="s">
        <v>108</v>
      </c>
      <c r="AE168" s="32"/>
      <c r="AF168" s="25" t="s">
        <v>38</v>
      </c>
      <c r="AG168" s="27"/>
      <c r="AH168" s="27"/>
      <c r="AI168" s="27"/>
      <c r="AJ168" s="27"/>
      <c r="AL168">
        <f t="shared" si="30"/>
        <v>0</v>
      </c>
      <c r="AM168">
        <f t="shared" si="31"/>
        <v>2</v>
      </c>
      <c r="AN168">
        <f t="shared" si="32"/>
        <v>3</v>
      </c>
      <c r="AO168">
        <f t="shared" si="33"/>
        <v>2</v>
      </c>
      <c r="AP168">
        <f t="shared" si="34"/>
        <v>0</v>
      </c>
      <c r="AQ168">
        <f t="shared" si="35"/>
        <v>2</v>
      </c>
      <c r="AS168" s="90">
        <v>4173</v>
      </c>
      <c r="AT168" s="90" t="s">
        <v>511</v>
      </c>
    </row>
    <row r="169" spans="1:46" ht="21" customHeight="1" thickBot="1">
      <c r="A169" s="28" t="s">
        <v>508</v>
      </c>
      <c r="B169" s="9" t="s">
        <v>509</v>
      </c>
      <c r="C169" s="123" t="s">
        <v>510</v>
      </c>
      <c r="D169" s="4">
        <v>3215808018</v>
      </c>
      <c r="E169" s="7">
        <v>5</v>
      </c>
      <c r="F169" s="57">
        <v>45383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 t="s">
        <v>38</v>
      </c>
      <c r="U169" s="6"/>
      <c r="V169" s="6"/>
      <c r="W169" s="6"/>
      <c r="X169" s="6"/>
      <c r="Y169" s="4" t="s">
        <v>38</v>
      </c>
      <c r="Z169" s="4" t="s">
        <v>38</v>
      </c>
      <c r="AA169" s="4" t="s">
        <v>38</v>
      </c>
      <c r="AB169" s="6"/>
      <c r="AC169" s="6"/>
      <c r="AD169" s="7" t="s">
        <v>108</v>
      </c>
      <c r="AE169" s="8"/>
      <c r="AF169" s="6"/>
      <c r="AG169" s="6"/>
      <c r="AH169" s="7" t="s">
        <v>38</v>
      </c>
      <c r="AI169" s="6"/>
      <c r="AJ169" s="6"/>
      <c r="AL169">
        <f t="shared" si="30"/>
        <v>0</v>
      </c>
      <c r="AM169">
        <f t="shared" si="31"/>
        <v>3</v>
      </c>
      <c r="AN169">
        <f t="shared" si="32"/>
        <v>4</v>
      </c>
      <c r="AO169">
        <f t="shared" si="33"/>
        <v>3</v>
      </c>
      <c r="AP169">
        <f t="shared" si="34"/>
        <v>0</v>
      </c>
      <c r="AQ169">
        <f t="shared" si="35"/>
        <v>4</v>
      </c>
      <c r="AS169" s="90">
        <v>4173</v>
      </c>
      <c r="AT169" s="90" t="s">
        <v>511</v>
      </c>
    </row>
    <row r="170" spans="1:46" ht="21" customHeight="1" thickBot="1">
      <c r="A170" s="22" t="s">
        <v>512</v>
      </c>
      <c r="B170" s="23" t="s">
        <v>513</v>
      </c>
      <c r="C170" s="113" t="s">
        <v>514</v>
      </c>
      <c r="D170" s="27"/>
      <c r="E170" s="23">
        <v>20</v>
      </c>
      <c r="F170" s="23">
        <v>43952</v>
      </c>
      <c r="G170" s="27"/>
      <c r="H170" s="27"/>
      <c r="I170" s="27"/>
      <c r="J170" s="25" t="s">
        <v>38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3" t="s">
        <v>38</v>
      </c>
      <c r="X170" s="23" t="s">
        <v>38</v>
      </c>
      <c r="Y170" s="23" t="s">
        <v>38</v>
      </c>
      <c r="Z170" s="23" t="s">
        <v>38</v>
      </c>
      <c r="AA170" s="23" t="s">
        <v>38</v>
      </c>
      <c r="AB170" s="27"/>
      <c r="AC170" s="27"/>
      <c r="AD170" s="23" t="s">
        <v>463</v>
      </c>
      <c r="AE170" s="32"/>
      <c r="AF170" s="27"/>
      <c r="AG170" s="27"/>
      <c r="AH170" s="27"/>
      <c r="AI170" s="25" t="s">
        <v>38</v>
      </c>
      <c r="AJ170" s="27"/>
      <c r="AL170">
        <f t="shared" si="30"/>
        <v>4</v>
      </c>
      <c r="AM170">
        <f t="shared" si="31"/>
        <v>0</v>
      </c>
      <c r="AN170">
        <f t="shared" si="32"/>
        <v>1</v>
      </c>
      <c r="AO170">
        <f t="shared" si="33"/>
        <v>5</v>
      </c>
      <c r="AP170">
        <f t="shared" si="34"/>
        <v>0</v>
      </c>
      <c r="AQ170">
        <f t="shared" si="35"/>
        <v>5</v>
      </c>
      <c r="AS170" s="90">
        <v>4143</v>
      </c>
      <c r="AT170" s="90" t="s">
        <v>526</v>
      </c>
    </row>
    <row r="171" spans="1:46" ht="21" customHeight="1" thickBot="1">
      <c r="A171" s="28" t="s">
        <v>512</v>
      </c>
      <c r="B171" s="4" t="s">
        <v>515</v>
      </c>
      <c r="C171" s="29" t="s">
        <v>516</v>
      </c>
      <c r="D171" s="4">
        <v>3175916405</v>
      </c>
      <c r="E171" s="4">
        <v>6</v>
      </c>
      <c r="F171" s="4">
        <v>43952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 t="s">
        <v>38</v>
      </c>
      <c r="U171" s="6"/>
      <c r="V171" s="6"/>
      <c r="W171" s="6"/>
      <c r="X171" s="4" t="s">
        <v>38</v>
      </c>
      <c r="Y171" s="4" t="s">
        <v>38</v>
      </c>
      <c r="Z171" s="4" t="s">
        <v>38</v>
      </c>
      <c r="AA171" s="4" t="s">
        <v>38</v>
      </c>
      <c r="AB171" s="6"/>
      <c r="AC171" s="6"/>
      <c r="AD171" s="4" t="s">
        <v>108</v>
      </c>
      <c r="AE171" s="8"/>
      <c r="AF171" s="6"/>
      <c r="AG171" s="6"/>
      <c r="AH171" s="6"/>
      <c r="AI171" s="7" t="s">
        <v>38</v>
      </c>
      <c r="AJ171" s="6"/>
      <c r="AL171">
        <f t="shared" si="30"/>
        <v>0</v>
      </c>
      <c r="AM171">
        <f t="shared" si="31"/>
        <v>3</v>
      </c>
      <c r="AN171">
        <f t="shared" si="32"/>
        <v>4</v>
      </c>
      <c r="AO171">
        <f t="shared" si="33"/>
        <v>4</v>
      </c>
      <c r="AP171">
        <f t="shared" si="34"/>
        <v>0</v>
      </c>
      <c r="AQ171">
        <f t="shared" si="35"/>
        <v>5</v>
      </c>
      <c r="AS171" s="90">
        <v>4143</v>
      </c>
      <c r="AT171" s="90" t="s">
        <v>526</v>
      </c>
    </row>
    <row r="172" spans="1:46" ht="21" customHeight="1" thickBot="1">
      <c r="A172" s="28" t="s">
        <v>512</v>
      </c>
      <c r="B172" s="4" t="s">
        <v>517</v>
      </c>
      <c r="C172" s="29" t="s">
        <v>518</v>
      </c>
      <c r="D172" s="4">
        <v>3116209443</v>
      </c>
      <c r="E172" s="4">
        <v>2</v>
      </c>
      <c r="F172" s="4">
        <v>45717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 t="s">
        <v>38</v>
      </c>
      <c r="U172" s="6"/>
      <c r="V172" s="6"/>
      <c r="W172" s="6"/>
      <c r="X172" s="4" t="s">
        <v>94</v>
      </c>
      <c r="Y172" s="4" t="s">
        <v>94</v>
      </c>
      <c r="Z172" s="4" t="s">
        <v>94</v>
      </c>
      <c r="AA172" s="4" t="s">
        <v>94</v>
      </c>
      <c r="AB172" s="6"/>
      <c r="AC172" s="6"/>
      <c r="AD172" s="4" t="s">
        <v>108</v>
      </c>
      <c r="AE172" s="8"/>
      <c r="AF172" s="6"/>
      <c r="AG172" s="7" t="s">
        <v>38</v>
      </c>
      <c r="AH172" s="6"/>
      <c r="AI172" s="6"/>
      <c r="AJ172" s="6"/>
      <c r="AL172">
        <f t="shared" si="30"/>
        <v>0</v>
      </c>
      <c r="AM172">
        <f t="shared" si="31"/>
        <v>3</v>
      </c>
      <c r="AN172">
        <f t="shared" si="32"/>
        <v>4</v>
      </c>
      <c r="AO172">
        <f t="shared" si="33"/>
        <v>4</v>
      </c>
      <c r="AP172">
        <f t="shared" si="34"/>
        <v>0</v>
      </c>
      <c r="AQ172">
        <f t="shared" si="35"/>
        <v>3</v>
      </c>
      <c r="AS172" s="90">
        <v>4143</v>
      </c>
      <c r="AT172" s="90" t="s">
        <v>526</v>
      </c>
    </row>
    <row r="173" spans="1:46" ht="21" customHeight="1" thickBot="1">
      <c r="A173" s="28" t="s">
        <v>512</v>
      </c>
      <c r="B173" s="4" t="s">
        <v>519</v>
      </c>
      <c r="C173" s="30" t="s">
        <v>520</v>
      </c>
      <c r="D173" s="4">
        <v>3118531112</v>
      </c>
      <c r="E173" s="4">
        <v>3</v>
      </c>
      <c r="F173" s="4">
        <v>45566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 t="s">
        <v>38</v>
      </c>
      <c r="U173" s="6"/>
      <c r="V173" s="6"/>
      <c r="W173" s="6"/>
      <c r="X173" s="4" t="s">
        <v>38</v>
      </c>
      <c r="Y173" s="4" t="s">
        <v>38</v>
      </c>
      <c r="Z173" s="4" t="s">
        <v>38</v>
      </c>
      <c r="AA173" s="4" t="s">
        <v>38</v>
      </c>
      <c r="AB173" s="6"/>
      <c r="AC173" s="6"/>
      <c r="AD173" s="4" t="s">
        <v>108</v>
      </c>
      <c r="AE173" s="8"/>
      <c r="AF173" s="6"/>
      <c r="AG173" s="7" t="s">
        <v>38</v>
      </c>
      <c r="AH173" s="6"/>
      <c r="AI173" s="6"/>
      <c r="AJ173" s="6"/>
      <c r="AL173">
        <f t="shared" si="30"/>
        <v>0</v>
      </c>
      <c r="AM173">
        <f t="shared" si="31"/>
        <v>3</v>
      </c>
      <c r="AN173">
        <f t="shared" si="32"/>
        <v>4</v>
      </c>
      <c r="AO173">
        <f t="shared" si="33"/>
        <v>4</v>
      </c>
      <c r="AP173">
        <f t="shared" si="34"/>
        <v>0</v>
      </c>
      <c r="AQ173">
        <f t="shared" si="35"/>
        <v>3</v>
      </c>
      <c r="AS173" s="90">
        <v>4143</v>
      </c>
      <c r="AT173" s="90" t="s">
        <v>526</v>
      </c>
    </row>
    <row r="174" spans="1:46" ht="21" customHeight="1" thickBot="1">
      <c r="A174" s="28" t="s">
        <v>512</v>
      </c>
      <c r="B174" s="4" t="s">
        <v>521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 t="s">
        <v>38</v>
      </c>
      <c r="U174" s="6"/>
      <c r="V174" s="6"/>
      <c r="W174" s="6"/>
      <c r="X174" s="6"/>
      <c r="Y174" s="6"/>
      <c r="Z174" s="6"/>
      <c r="AA174" s="6"/>
      <c r="AB174" s="6"/>
      <c r="AC174" s="6"/>
      <c r="AD174" s="4" t="s">
        <v>108</v>
      </c>
      <c r="AE174" s="8"/>
      <c r="AF174" s="6"/>
      <c r="AG174" s="7" t="s">
        <v>38</v>
      </c>
      <c r="AH174" s="6"/>
      <c r="AI174" s="6"/>
      <c r="AJ174" s="6"/>
      <c r="AL174">
        <f t="shared" si="30"/>
        <v>0</v>
      </c>
      <c r="AM174">
        <f t="shared" si="31"/>
        <v>3</v>
      </c>
      <c r="AN174">
        <f t="shared" si="32"/>
        <v>4</v>
      </c>
      <c r="AO174">
        <f t="shared" si="33"/>
        <v>0</v>
      </c>
      <c r="AP174">
        <f t="shared" si="34"/>
        <v>0</v>
      </c>
      <c r="AQ174">
        <f t="shared" si="35"/>
        <v>3</v>
      </c>
      <c r="AS174" s="90">
        <v>4143</v>
      </c>
      <c r="AT174" s="90" t="s">
        <v>526</v>
      </c>
    </row>
    <row r="175" spans="1:46" ht="21" customHeight="1" thickBot="1">
      <c r="A175" s="28" t="s">
        <v>512</v>
      </c>
      <c r="B175" s="4" t="s">
        <v>522</v>
      </c>
      <c r="C175" s="29" t="s">
        <v>523</v>
      </c>
      <c r="D175" s="4">
        <v>3208905462</v>
      </c>
      <c r="E175" s="4">
        <v>20</v>
      </c>
      <c r="F175" s="4">
        <v>45839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 t="s">
        <v>38</v>
      </c>
      <c r="U175" s="6"/>
      <c r="V175" s="6"/>
      <c r="W175" s="6"/>
      <c r="X175" s="4" t="s">
        <v>38</v>
      </c>
      <c r="Y175" s="4" t="s">
        <v>38</v>
      </c>
      <c r="Z175" s="4" t="s">
        <v>38</v>
      </c>
      <c r="AA175" s="4" t="s">
        <v>38</v>
      </c>
      <c r="AB175" s="6"/>
      <c r="AC175" s="6"/>
      <c r="AD175" s="4" t="s">
        <v>108</v>
      </c>
      <c r="AE175" s="8"/>
      <c r="AF175" s="6"/>
      <c r="AG175" s="6"/>
      <c r="AH175" s="6"/>
      <c r="AI175" s="7" t="s">
        <v>38</v>
      </c>
      <c r="AJ175" s="6"/>
      <c r="AL175">
        <f t="shared" si="30"/>
        <v>0</v>
      </c>
      <c r="AM175">
        <f t="shared" si="31"/>
        <v>3</v>
      </c>
      <c r="AN175">
        <f t="shared" si="32"/>
        <v>4</v>
      </c>
      <c r="AO175">
        <f t="shared" si="33"/>
        <v>4</v>
      </c>
      <c r="AP175">
        <f t="shared" si="34"/>
        <v>0</v>
      </c>
      <c r="AQ175">
        <f t="shared" si="35"/>
        <v>5</v>
      </c>
      <c r="AS175" s="90">
        <v>4143</v>
      </c>
      <c r="AT175" s="90" t="s">
        <v>526</v>
      </c>
    </row>
    <row r="176" spans="1:46" ht="21" customHeight="1" thickBot="1">
      <c r="A176" s="28" t="s">
        <v>512</v>
      </c>
      <c r="B176" s="4" t="s">
        <v>524</v>
      </c>
      <c r="C176" s="29" t="s">
        <v>525</v>
      </c>
      <c r="D176" s="4">
        <v>3188314439</v>
      </c>
      <c r="E176" s="4">
        <v>2</v>
      </c>
      <c r="F176" s="4">
        <v>45444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 t="s">
        <v>38</v>
      </c>
      <c r="U176" s="6"/>
      <c r="V176" s="6"/>
      <c r="W176" s="4" t="s">
        <v>94</v>
      </c>
      <c r="X176" s="4" t="s">
        <v>94</v>
      </c>
      <c r="Y176" s="4" t="s">
        <v>94</v>
      </c>
      <c r="Z176" s="4" t="s">
        <v>94</v>
      </c>
      <c r="AA176" s="4" t="s">
        <v>94</v>
      </c>
      <c r="AB176" s="6"/>
      <c r="AC176" s="6"/>
      <c r="AD176" s="4" t="s">
        <v>108</v>
      </c>
      <c r="AE176" s="8"/>
      <c r="AF176" s="6"/>
      <c r="AG176" s="7" t="s">
        <v>38</v>
      </c>
      <c r="AH176" s="6"/>
      <c r="AI176" s="6"/>
      <c r="AJ176" s="6"/>
      <c r="AL176">
        <f t="shared" si="30"/>
        <v>0</v>
      </c>
      <c r="AM176">
        <f t="shared" si="31"/>
        <v>3</v>
      </c>
      <c r="AN176">
        <f t="shared" si="32"/>
        <v>4</v>
      </c>
      <c r="AO176">
        <f t="shared" si="33"/>
        <v>5</v>
      </c>
      <c r="AP176">
        <f t="shared" si="34"/>
        <v>0</v>
      </c>
      <c r="AQ176">
        <f t="shared" si="35"/>
        <v>3</v>
      </c>
      <c r="AS176" s="90">
        <v>4143</v>
      </c>
      <c r="AT176" s="90" t="s">
        <v>526</v>
      </c>
    </row>
    <row r="177" spans="1:46" ht="21" customHeight="1" thickBot="1">
      <c r="A177" s="22" t="s">
        <v>527</v>
      </c>
      <c r="B177" s="23" t="s">
        <v>528</v>
      </c>
      <c r="C177" s="113" t="s">
        <v>529</v>
      </c>
      <c r="D177" s="27"/>
      <c r="E177" s="27"/>
      <c r="F177" s="26">
        <v>45658</v>
      </c>
      <c r="G177" s="25" t="s">
        <v>38</v>
      </c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3" t="s">
        <v>38</v>
      </c>
      <c r="W177" s="27"/>
      <c r="X177" s="27"/>
      <c r="Y177" s="27"/>
      <c r="Z177" s="27"/>
      <c r="AA177" s="27"/>
      <c r="AB177" s="27"/>
      <c r="AC177" s="27"/>
      <c r="AD177" s="23" t="s">
        <v>463</v>
      </c>
      <c r="AE177" s="32"/>
      <c r="AF177" s="27"/>
      <c r="AG177" s="27"/>
      <c r="AH177" s="27"/>
      <c r="AI177" s="25" t="s">
        <v>38</v>
      </c>
      <c r="AJ177" s="27"/>
      <c r="AL177">
        <f t="shared" si="30"/>
        <v>1</v>
      </c>
      <c r="AM177">
        <f t="shared" si="31"/>
        <v>0</v>
      </c>
      <c r="AN177">
        <f t="shared" si="32"/>
        <v>1</v>
      </c>
      <c r="AO177">
        <f t="shared" si="33"/>
        <v>1</v>
      </c>
      <c r="AP177">
        <f t="shared" si="34"/>
        <v>0</v>
      </c>
      <c r="AQ177">
        <f t="shared" si="35"/>
        <v>5</v>
      </c>
      <c r="AS177" s="90">
        <v>4112</v>
      </c>
      <c r="AT177" s="90" t="s">
        <v>530</v>
      </c>
    </row>
    <row r="178" spans="1:46" ht="21" customHeight="1" thickBot="1">
      <c r="A178" s="22" t="s">
        <v>531</v>
      </c>
      <c r="B178" s="23" t="s">
        <v>532</v>
      </c>
      <c r="C178" s="113" t="s">
        <v>533</v>
      </c>
      <c r="D178" s="23">
        <v>3164035543</v>
      </c>
      <c r="E178" s="23">
        <v>10</v>
      </c>
      <c r="F178" s="26">
        <v>44927</v>
      </c>
      <c r="G178" s="27"/>
      <c r="H178" s="27"/>
      <c r="I178" s="27"/>
      <c r="J178" s="27"/>
      <c r="K178" s="27"/>
      <c r="L178" s="27"/>
      <c r="M178" s="27"/>
      <c r="N178" s="27"/>
      <c r="O178" s="27"/>
      <c r="P178" s="25" t="s">
        <v>94</v>
      </c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3" t="s">
        <v>94</v>
      </c>
      <c r="AB178" s="27"/>
      <c r="AC178" s="27"/>
      <c r="AD178" s="27"/>
      <c r="AE178" s="32"/>
      <c r="AF178" s="27"/>
      <c r="AG178" s="27"/>
      <c r="AH178" s="25" t="s">
        <v>94</v>
      </c>
      <c r="AI178" s="27"/>
      <c r="AJ178" s="27"/>
      <c r="AL178">
        <f t="shared" si="30"/>
        <v>4</v>
      </c>
      <c r="AM178">
        <f t="shared" si="31"/>
        <v>0</v>
      </c>
      <c r="AN178">
        <f t="shared" si="32"/>
        <v>1</v>
      </c>
      <c r="AO178">
        <f t="shared" si="33"/>
        <v>1</v>
      </c>
      <c r="AP178">
        <f t="shared" si="34"/>
        <v>0</v>
      </c>
      <c r="AQ178">
        <f t="shared" si="35"/>
        <v>4</v>
      </c>
      <c r="AS178" s="90">
        <v>4151</v>
      </c>
      <c r="AT178" s="90" t="s">
        <v>547</v>
      </c>
    </row>
    <row r="179" spans="1:46" ht="21" customHeight="1" thickBot="1">
      <c r="A179" s="28" t="s">
        <v>534</v>
      </c>
      <c r="B179" s="4" t="s">
        <v>535</v>
      </c>
      <c r="C179" s="30" t="s">
        <v>536</v>
      </c>
      <c r="D179" s="4">
        <v>3175515296</v>
      </c>
      <c r="E179" s="4">
        <v>8</v>
      </c>
      <c r="F179" s="5">
        <v>45292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7" t="s">
        <v>94</v>
      </c>
      <c r="V179" s="6"/>
      <c r="W179" s="6"/>
      <c r="X179" s="6"/>
      <c r="Y179" s="4" t="s">
        <v>94</v>
      </c>
      <c r="Z179" s="6"/>
      <c r="AA179" s="6"/>
      <c r="AB179" s="6"/>
      <c r="AC179" s="6"/>
      <c r="AD179" s="4" t="s">
        <v>416</v>
      </c>
      <c r="AE179" s="8"/>
      <c r="AF179" s="6"/>
      <c r="AG179" s="7" t="s">
        <v>94</v>
      </c>
      <c r="AH179" s="6"/>
      <c r="AI179" s="6"/>
      <c r="AJ179" s="6"/>
      <c r="AL179">
        <f t="shared" si="30"/>
        <v>0</v>
      </c>
      <c r="AM179">
        <f t="shared" si="31"/>
        <v>4</v>
      </c>
      <c r="AN179">
        <f t="shared" si="32"/>
        <v>5</v>
      </c>
      <c r="AO179">
        <f t="shared" si="33"/>
        <v>1</v>
      </c>
      <c r="AP179">
        <f t="shared" si="34"/>
        <v>1</v>
      </c>
      <c r="AQ179">
        <f t="shared" si="35"/>
        <v>3</v>
      </c>
      <c r="AS179" s="90">
        <v>4151</v>
      </c>
      <c r="AT179" s="90" t="s">
        <v>547</v>
      </c>
    </row>
    <row r="180" spans="1:46" ht="21" customHeight="1" thickBot="1">
      <c r="A180" s="28" t="s">
        <v>537</v>
      </c>
      <c r="B180" s="4" t="s">
        <v>538</v>
      </c>
      <c r="C180" s="30" t="s">
        <v>539</v>
      </c>
      <c r="D180" s="4">
        <v>3145019134</v>
      </c>
      <c r="E180" s="4">
        <v>10</v>
      </c>
      <c r="F180" s="5">
        <v>43831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 t="s">
        <v>94</v>
      </c>
      <c r="U180" s="6"/>
      <c r="V180" s="6"/>
      <c r="W180" s="6"/>
      <c r="X180" s="6"/>
      <c r="Y180" s="4" t="s">
        <v>94</v>
      </c>
      <c r="Z180" s="6"/>
      <c r="AA180" s="6"/>
      <c r="AB180" s="6"/>
      <c r="AC180" s="6"/>
      <c r="AD180" s="4" t="s">
        <v>416</v>
      </c>
      <c r="AE180" s="8"/>
      <c r="AF180" s="6"/>
      <c r="AG180" s="6"/>
      <c r="AH180" s="7" t="s">
        <v>94</v>
      </c>
      <c r="AI180" s="6"/>
      <c r="AJ180" s="6"/>
      <c r="AL180">
        <f t="shared" si="30"/>
        <v>0</v>
      </c>
      <c r="AM180">
        <f t="shared" si="31"/>
        <v>3</v>
      </c>
      <c r="AN180">
        <f t="shared" si="32"/>
        <v>4</v>
      </c>
      <c r="AO180">
        <f t="shared" si="33"/>
        <v>1</v>
      </c>
      <c r="AP180">
        <f t="shared" si="34"/>
        <v>1</v>
      </c>
      <c r="AQ180">
        <f t="shared" si="35"/>
        <v>4</v>
      </c>
      <c r="AS180" s="90">
        <v>4151</v>
      </c>
      <c r="AT180" s="90" t="s">
        <v>547</v>
      </c>
    </row>
    <row r="181" spans="1:46" ht="21" customHeight="1" thickBot="1">
      <c r="A181" s="28" t="s">
        <v>540</v>
      </c>
      <c r="B181" s="4" t="s">
        <v>541</v>
      </c>
      <c r="C181" s="30" t="s">
        <v>542</v>
      </c>
      <c r="D181" s="4">
        <v>3023399037</v>
      </c>
      <c r="E181" s="4">
        <v>8</v>
      </c>
      <c r="F181" s="5">
        <v>45292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7" t="s">
        <v>94</v>
      </c>
      <c r="V181" s="6"/>
      <c r="W181" s="6"/>
      <c r="X181" s="6"/>
      <c r="Y181" s="6"/>
      <c r="Z181" s="6"/>
      <c r="AA181" s="6"/>
      <c r="AB181" s="4" t="s">
        <v>94</v>
      </c>
      <c r="AC181" s="6"/>
      <c r="AD181" s="4" t="s">
        <v>416</v>
      </c>
      <c r="AE181" s="8"/>
      <c r="AF181" s="6"/>
      <c r="AG181" s="6"/>
      <c r="AH181" s="6"/>
      <c r="AI181" s="7" t="s">
        <v>94</v>
      </c>
      <c r="AJ181" s="6"/>
      <c r="AL181">
        <f t="shared" si="30"/>
        <v>0</v>
      </c>
      <c r="AM181">
        <f t="shared" si="31"/>
        <v>4</v>
      </c>
      <c r="AN181">
        <f t="shared" si="32"/>
        <v>5</v>
      </c>
      <c r="AO181">
        <f t="shared" si="33"/>
        <v>1</v>
      </c>
      <c r="AP181">
        <f t="shared" si="34"/>
        <v>1</v>
      </c>
      <c r="AQ181">
        <f t="shared" si="35"/>
        <v>5</v>
      </c>
      <c r="AS181" s="90">
        <v>4151</v>
      </c>
      <c r="AT181" s="90" t="s">
        <v>547</v>
      </c>
    </row>
    <row r="182" spans="1:46" ht="21" customHeight="1" thickBot="1">
      <c r="A182" s="28" t="s">
        <v>537</v>
      </c>
      <c r="B182" s="4" t="s">
        <v>543</v>
      </c>
      <c r="C182" s="30" t="s">
        <v>544</v>
      </c>
      <c r="D182" s="4">
        <v>3113311370</v>
      </c>
      <c r="E182" s="4">
        <v>2</v>
      </c>
      <c r="F182" s="5">
        <v>43831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 t="s">
        <v>94</v>
      </c>
      <c r="U182" s="6"/>
      <c r="V182" s="6"/>
      <c r="W182" s="6"/>
      <c r="X182" s="6"/>
      <c r="Y182" s="4" t="s">
        <v>94</v>
      </c>
      <c r="Z182" s="6"/>
      <c r="AA182" s="6"/>
      <c r="AB182" s="6"/>
      <c r="AC182" s="6"/>
      <c r="AD182" s="4" t="s">
        <v>108</v>
      </c>
      <c r="AE182" s="8"/>
      <c r="AF182" s="6"/>
      <c r="AG182" s="7" t="s">
        <v>94</v>
      </c>
      <c r="AH182" s="6"/>
      <c r="AI182" s="6"/>
      <c r="AJ182" s="6"/>
      <c r="AL182">
        <f t="shared" si="30"/>
        <v>0</v>
      </c>
      <c r="AM182">
        <f t="shared" si="31"/>
        <v>3</v>
      </c>
      <c r="AN182">
        <f t="shared" si="32"/>
        <v>4</v>
      </c>
      <c r="AO182">
        <f t="shared" si="33"/>
        <v>1</v>
      </c>
      <c r="AP182">
        <f t="shared" si="34"/>
        <v>0</v>
      </c>
      <c r="AQ182">
        <f t="shared" si="35"/>
        <v>3</v>
      </c>
      <c r="AS182" s="90">
        <v>4151</v>
      </c>
      <c r="AT182" s="90" t="s">
        <v>547</v>
      </c>
    </row>
    <row r="183" spans="1:46" ht="21" customHeight="1" thickBot="1">
      <c r="A183" s="28" t="s">
        <v>540</v>
      </c>
      <c r="B183" s="4" t="s">
        <v>545</v>
      </c>
      <c r="C183" s="30" t="s">
        <v>546</v>
      </c>
      <c r="D183" s="4">
        <v>3004175645</v>
      </c>
      <c r="E183" s="4">
        <v>5</v>
      </c>
      <c r="F183" s="5">
        <v>45292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 t="s">
        <v>94</v>
      </c>
      <c r="V183" s="6"/>
      <c r="W183" s="4" t="s">
        <v>94</v>
      </c>
      <c r="X183" s="6"/>
      <c r="Y183" s="6"/>
      <c r="Z183" s="4" t="s">
        <v>94</v>
      </c>
      <c r="AA183" s="4" t="s">
        <v>94</v>
      </c>
      <c r="AB183" s="6"/>
      <c r="AC183" s="6"/>
      <c r="AD183" s="4" t="s">
        <v>416</v>
      </c>
      <c r="AE183" s="8"/>
      <c r="AF183" s="6"/>
      <c r="AG183" s="6"/>
      <c r="AH183" s="6"/>
      <c r="AI183" s="7" t="s">
        <v>94</v>
      </c>
      <c r="AJ183" s="6"/>
      <c r="AL183">
        <f t="shared" si="30"/>
        <v>0</v>
      </c>
      <c r="AM183">
        <f t="shared" si="31"/>
        <v>4</v>
      </c>
      <c r="AN183">
        <f t="shared" si="32"/>
        <v>5</v>
      </c>
      <c r="AO183">
        <f t="shared" si="33"/>
        <v>3</v>
      </c>
      <c r="AP183">
        <f t="shared" si="34"/>
        <v>1</v>
      </c>
      <c r="AQ183">
        <f t="shared" si="35"/>
        <v>5</v>
      </c>
      <c r="AS183" s="90">
        <v>4151</v>
      </c>
      <c r="AT183" s="90" t="s">
        <v>547</v>
      </c>
    </row>
    <row r="184" spans="1:46" ht="21" customHeight="1" thickTop="1" thickBot="1">
      <c r="A184" s="22" t="s">
        <v>548</v>
      </c>
      <c r="B184" s="23" t="s">
        <v>549</v>
      </c>
      <c r="C184" s="113" t="s">
        <v>550</v>
      </c>
      <c r="D184" s="23">
        <v>3127806387</v>
      </c>
      <c r="E184" s="23">
        <v>40</v>
      </c>
      <c r="F184" s="125">
        <v>45689</v>
      </c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5" t="s">
        <v>38</v>
      </c>
      <c r="V184" s="27"/>
      <c r="W184" s="27"/>
      <c r="X184" s="27"/>
      <c r="Y184" s="27"/>
      <c r="Z184" s="27"/>
      <c r="AA184" s="27"/>
      <c r="AB184" s="23" t="s">
        <v>38</v>
      </c>
      <c r="AC184" s="27"/>
      <c r="AD184" s="23" t="s">
        <v>39</v>
      </c>
      <c r="AE184" s="32"/>
      <c r="AF184" s="27"/>
      <c r="AG184" s="27"/>
      <c r="AH184" s="25" t="s">
        <v>38</v>
      </c>
      <c r="AI184" s="27"/>
      <c r="AJ184" s="27"/>
      <c r="AL184">
        <f t="shared" si="30"/>
        <v>0</v>
      </c>
      <c r="AM184">
        <f t="shared" si="31"/>
        <v>4</v>
      </c>
      <c r="AN184">
        <f t="shared" si="32"/>
        <v>5</v>
      </c>
      <c r="AO184">
        <f t="shared" si="33"/>
        <v>1</v>
      </c>
      <c r="AP184">
        <f t="shared" si="34"/>
        <v>0</v>
      </c>
      <c r="AQ184">
        <f t="shared" si="35"/>
        <v>4</v>
      </c>
      <c r="AS184" s="90">
        <v>4152</v>
      </c>
      <c r="AT184" s="90" t="s">
        <v>566</v>
      </c>
    </row>
    <row r="185" spans="1:46" ht="21" customHeight="1" thickBot="1">
      <c r="A185" s="51" t="s">
        <v>551</v>
      </c>
      <c r="B185" s="47" t="s">
        <v>552</v>
      </c>
      <c r="C185" s="66" t="s">
        <v>553</v>
      </c>
      <c r="D185" s="53">
        <v>3177451936</v>
      </c>
      <c r="E185" s="53">
        <v>3</v>
      </c>
      <c r="F185" s="80">
        <v>45352</v>
      </c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3" t="s">
        <v>38</v>
      </c>
      <c r="U185" s="44"/>
      <c r="V185" s="44"/>
      <c r="W185" s="44"/>
      <c r="X185" s="44"/>
      <c r="Y185" s="47" t="s">
        <v>38</v>
      </c>
      <c r="Z185" s="47" t="s">
        <v>38</v>
      </c>
      <c r="AA185" s="47" t="s">
        <v>38</v>
      </c>
      <c r="AB185" s="47" t="s">
        <v>38</v>
      </c>
      <c r="AC185" s="44"/>
      <c r="AD185" s="47" t="s">
        <v>65</v>
      </c>
      <c r="AE185" s="8"/>
      <c r="AF185" s="44"/>
      <c r="AG185" s="43" t="s">
        <v>38</v>
      </c>
      <c r="AH185" s="44"/>
      <c r="AI185" s="44"/>
      <c r="AJ185" s="44"/>
      <c r="AL185">
        <f t="shared" si="30"/>
        <v>0</v>
      </c>
      <c r="AM185">
        <f t="shared" si="31"/>
        <v>3</v>
      </c>
      <c r="AN185">
        <f t="shared" si="32"/>
        <v>4</v>
      </c>
      <c r="AO185">
        <f t="shared" si="33"/>
        <v>4</v>
      </c>
      <c r="AP185">
        <f t="shared" si="34"/>
        <v>1</v>
      </c>
      <c r="AQ185">
        <f t="shared" si="35"/>
        <v>3</v>
      </c>
      <c r="AS185" s="90">
        <v>4152</v>
      </c>
      <c r="AT185" s="90" t="s">
        <v>566</v>
      </c>
    </row>
    <row r="186" spans="1:46" ht="21" customHeight="1" thickBot="1">
      <c r="A186" s="51" t="s">
        <v>551</v>
      </c>
      <c r="B186" s="47" t="s">
        <v>554</v>
      </c>
      <c r="C186" s="126" t="s">
        <v>555</v>
      </c>
      <c r="D186" s="53">
        <v>3218498296</v>
      </c>
      <c r="E186" s="53">
        <v>7</v>
      </c>
      <c r="F186" s="80">
        <v>45323</v>
      </c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3" t="s">
        <v>38</v>
      </c>
      <c r="U186" s="44"/>
      <c r="V186" s="44"/>
      <c r="W186" s="44"/>
      <c r="X186" s="44"/>
      <c r="Y186" s="47" t="s">
        <v>38</v>
      </c>
      <c r="Z186" s="47" t="s">
        <v>38</v>
      </c>
      <c r="AA186" s="47" t="s">
        <v>38</v>
      </c>
      <c r="AB186" s="44"/>
      <c r="AC186" s="44"/>
      <c r="AD186" s="47" t="s">
        <v>65</v>
      </c>
      <c r="AE186" s="8"/>
      <c r="AF186" s="44"/>
      <c r="AG186" s="44"/>
      <c r="AH186" s="44"/>
      <c r="AI186" s="43" t="s">
        <v>38</v>
      </c>
      <c r="AJ186" s="44"/>
      <c r="AL186">
        <f t="shared" si="30"/>
        <v>0</v>
      </c>
      <c r="AM186">
        <f t="shared" si="31"/>
        <v>3</v>
      </c>
      <c r="AN186">
        <f t="shared" si="32"/>
        <v>4</v>
      </c>
      <c r="AO186">
        <f t="shared" si="33"/>
        <v>3</v>
      </c>
      <c r="AP186">
        <f t="shared" si="34"/>
        <v>1</v>
      </c>
      <c r="AQ186">
        <f t="shared" si="35"/>
        <v>5</v>
      </c>
      <c r="AS186" s="90">
        <v>4152</v>
      </c>
      <c r="AT186" s="90" t="s">
        <v>566</v>
      </c>
    </row>
    <row r="187" spans="1:46" ht="21" customHeight="1" thickBot="1">
      <c r="A187" s="51" t="s">
        <v>551</v>
      </c>
      <c r="B187" s="47" t="s">
        <v>556</v>
      </c>
      <c r="C187" s="126" t="s">
        <v>557</v>
      </c>
      <c r="D187" s="53">
        <v>3216368306</v>
      </c>
      <c r="E187" s="53">
        <v>18</v>
      </c>
      <c r="F187" s="80">
        <v>45658</v>
      </c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3" t="s">
        <v>38</v>
      </c>
      <c r="U187" s="44"/>
      <c r="V187" s="47" t="s">
        <v>38</v>
      </c>
      <c r="W187" s="44"/>
      <c r="X187" s="44"/>
      <c r="Y187" s="47" t="s">
        <v>38</v>
      </c>
      <c r="Z187" s="47" t="s">
        <v>38</v>
      </c>
      <c r="AA187" s="47" t="s">
        <v>38</v>
      </c>
      <c r="AB187" s="44"/>
      <c r="AC187" s="44"/>
      <c r="AD187" s="47" t="s">
        <v>65</v>
      </c>
      <c r="AE187" s="8"/>
      <c r="AF187" s="44"/>
      <c r="AG187" s="44"/>
      <c r="AH187" s="43" t="s">
        <v>38</v>
      </c>
      <c r="AI187" s="44"/>
      <c r="AJ187" s="44"/>
      <c r="AL187">
        <f t="shared" si="30"/>
        <v>0</v>
      </c>
      <c r="AM187">
        <f t="shared" si="31"/>
        <v>3</v>
      </c>
      <c r="AN187">
        <f t="shared" si="32"/>
        <v>4</v>
      </c>
      <c r="AO187">
        <f t="shared" si="33"/>
        <v>4</v>
      </c>
      <c r="AP187">
        <f t="shared" si="34"/>
        <v>1</v>
      </c>
      <c r="AQ187">
        <f t="shared" si="35"/>
        <v>4</v>
      </c>
      <c r="AS187" s="90">
        <v>4152</v>
      </c>
      <c r="AT187" s="90" t="s">
        <v>566</v>
      </c>
    </row>
    <row r="188" spans="1:46" ht="21" customHeight="1" thickBot="1">
      <c r="A188" s="51" t="s">
        <v>551</v>
      </c>
      <c r="B188" s="47" t="s">
        <v>558</v>
      </c>
      <c r="C188" s="126" t="s">
        <v>559</v>
      </c>
      <c r="D188" s="53">
        <v>3185217039</v>
      </c>
      <c r="E188" s="53">
        <v>12</v>
      </c>
      <c r="F188" s="80">
        <v>42370</v>
      </c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3" t="s">
        <v>38</v>
      </c>
      <c r="V188" s="44"/>
      <c r="W188" s="44"/>
      <c r="X188" s="44"/>
      <c r="Y188" s="47" t="s">
        <v>38</v>
      </c>
      <c r="Z188" s="47" t="s">
        <v>38</v>
      </c>
      <c r="AA188" s="47" t="s">
        <v>38</v>
      </c>
      <c r="AB188" s="47" t="s">
        <v>38</v>
      </c>
      <c r="AC188" s="44"/>
      <c r="AD188" s="47" t="s">
        <v>65</v>
      </c>
      <c r="AE188" s="8"/>
      <c r="AF188" s="44"/>
      <c r="AG188" s="44"/>
      <c r="AH188" s="44"/>
      <c r="AI188" s="43" t="s">
        <v>38</v>
      </c>
      <c r="AJ188" s="44"/>
      <c r="AL188">
        <f t="shared" si="30"/>
        <v>0</v>
      </c>
      <c r="AM188">
        <f t="shared" si="31"/>
        <v>4</v>
      </c>
      <c r="AN188">
        <f t="shared" si="32"/>
        <v>5</v>
      </c>
      <c r="AO188">
        <f t="shared" si="33"/>
        <v>4</v>
      </c>
      <c r="AP188">
        <f t="shared" si="34"/>
        <v>1</v>
      </c>
      <c r="AQ188">
        <f t="shared" si="35"/>
        <v>5</v>
      </c>
      <c r="AS188" s="90">
        <v>4152</v>
      </c>
      <c r="AT188" s="90" t="s">
        <v>566</v>
      </c>
    </row>
    <row r="189" spans="1:46" ht="21" customHeight="1" thickBot="1">
      <c r="A189" s="51" t="s">
        <v>551</v>
      </c>
      <c r="B189" s="47" t="s">
        <v>560</v>
      </c>
      <c r="C189" s="71" t="s">
        <v>561</v>
      </c>
      <c r="D189" s="53">
        <v>3103581405</v>
      </c>
      <c r="E189" s="53">
        <v>8</v>
      </c>
      <c r="F189" s="80">
        <v>45689</v>
      </c>
      <c r="G189" s="44"/>
      <c r="H189" s="43" t="s">
        <v>38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7" t="s">
        <v>38</v>
      </c>
      <c r="Z189" s="47" t="s">
        <v>38</v>
      </c>
      <c r="AA189" s="47" t="s">
        <v>38</v>
      </c>
      <c r="AB189" s="44"/>
      <c r="AC189" s="44"/>
      <c r="AD189" s="47" t="s">
        <v>39</v>
      </c>
      <c r="AE189" s="8"/>
      <c r="AF189" s="43" t="s">
        <v>38</v>
      </c>
      <c r="AG189" s="44"/>
      <c r="AH189" s="44"/>
      <c r="AI189" s="44"/>
      <c r="AJ189" s="44"/>
      <c r="AL189">
        <f t="shared" si="30"/>
        <v>2</v>
      </c>
      <c r="AM189">
        <f t="shared" si="31"/>
        <v>0</v>
      </c>
      <c r="AN189">
        <f t="shared" si="32"/>
        <v>1</v>
      </c>
      <c r="AO189">
        <f t="shared" si="33"/>
        <v>3</v>
      </c>
      <c r="AP189">
        <f t="shared" si="34"/>
        <v>0</v>
      </c>
      <c r="AQ189">
        <f t="shared" si="35"/>
        <v>2</v>
      </c>
      <c r="AS189" s="90">
        <v>4152</v>
      </c>
      <c r="AT189" s="90" t="s">
        <v>566</v>
      </c>
    </row>
    <row r="190" spans="1:46" ht="21" customHeight="1" thickBot="1">
      <c r="A190" s="51" t="s">
        <v>551</v>
      </c>
      <c r="B190" s="47" t="s">
        <v>562</v>
      </c>
      <c r="C190" s="71" t="s">
        <v>563</v>
      </c>
      <c r="D190" s="53">
        <v>3227498240</v>
      </c>
      <c r="E190" s="53">
        <v>2</v>
      </c>
      <c r="F190" s="80">
        <v>45536</v>
      </c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3" t="s">
        <v>38</v>
      </c>
      <c r="U190" s="44"/>
      <c r="V190" s="44"/>
      <c r="W190" s="44"/>
      <c r="X190" s="44"/>
      <c r="Y190" s="47" t="s">
        <v>38</v>
      </c>
      <c r="Z190" s="47" t="s">
        <v>38</v>
      </c>
      <c r="AA190" s="47" t="s">
        <v>38</v>
      </c>
      <c r="AB190" s="44"/>
      <c r="AC190" s="44"/>
      <c r="AD190" s="47" t="s">
        <v>39</v>
      </c>
      <c r="AE190" s="8"/>
      <c r="AF190" s="44"/>
      <c r="AG190" s="43" t="s">
        <v>38</v>
      </c>
      <c r="AH190" s="44"/>
      <c r="AI190" s="44"/>
      <c r="AJ190" s="44"/>
      <c r="AL190">
        <f t="shared" si="30"/>
        <v>0</v>
      </c>
      <c r="AM190">
        <f t="shared" si="31"/>
        <v>3</v>
      </c>
      <c r="AN190">
        <f t="shared" si="32"/>
        <v>4</v>
      </c>
      <c r="AO190">
        <f t="shared" si="33"/>
        <v>3</v>
      </c>
      <c r="AP190">
        <f t="shared" si="34"/>
        <v>0</v>
      </c>
      <c r="AQ190">
        <f t="shared" si="35"/>
        <v>3</v>
      </c>
      <c r="AS190" s="90">
        <v>4152</v>
      </c>
      <c r="AT190" s="90" t="s">
        <v>566</v>
      </c>
    </row>
    <row r="191" spans="1:46" ht="21" customHeight="1" thickBot="1">
      <c r="A191" s="51" t="s">
        <v>551</v>
      </c>
      <c r="B191" s="47" t="s">
        <v>564</v>
      </c>
      <c r="C191" s="71" t="s">
        <v>565</v>
      </c>
      <c r="D191" s="53">
        <v>3122303797</v>
      </c>
      <c r="E191" s="53">
        <v>15</v>
      </c>
      <c r="F191" s="80">
        <v>45809</v>
      </c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3" t="s">
        <v>38</v>
      </c>
      <c r="T191" s="44"/>
      <c r="U191" s="44"/>
      <c r="V191" s="44"/>
      <c r="W191" s="44"/>
      <c r="X191" s="44"/>
      <c r="Y191" s="47" t="s">
        <v>38</v>
      </c>
      <c r="Z191" s="47" t="s">
        <v>38</v>
      </c>
      <c r="AA191" s="47" t="s">
        <v>38</v>
      </c>
      <c r="AB191" s="44"/>
      <c r="AC191" s="44"/>
      <c r="AD191" s="47" t="s">
        <v>39</v>
      </c>
      <c r="AE191" s="8"/>
      <c r="AF191" s="43" t="s">
        <v>38</v>
      </c>
      <c r="AG191" s="44"/>
      <c r="AH191" s="44"/>
      <c r="AI191" s="44"/>
      <c r="AJ191" s="44"/>
      <c r="AL191">
        <f t="shared" si="30"/>
        <v>0</v>
      </c>
      <c r="AM191">
        <f t="shared" si="31"/>
        <v>2</v>
      </c>
      <c r="AN191">
        <f t="shared" si="32"/>
        <v>3</v>
      </c>
      <c r="AO191">
        <f t="shared" si="33"/>
        <v>3</v>
      </c>
      <c r="AP191">
        <f t="shared" si="34"/>
        <v>0</v>
      </c>
      <c r="AQ191">
        <f t="shared" si="35"/>
        <v>2</v>
      </c>
      <c r="AS191" s="90">
        <v>4152</v>
      </c>
      <c r="AT191" s="90" t="s">
        <v>566</v>
      </c>
    </row>
    <row r="192" spans="1:46" ht="21" customHeight="1" thickTop="1" thickBot="1">
      <c r="A192" s="31" t="s">
        <v>339</v>
      </c>
      <c r="B192" s="25" t="s">
        <v>568</v>
      </c>
      <c r="C192" s="25" t="s">
        <v>569</v>
      </c>
      <c r="D192" s="25">
        <v>3330389389</v>
      </c>
      <c r="E192" s="127">
        <v>5</v>
      </c>
      <c r="F192" s="128">
        <v>43831</v>
      </c>
      <c r="G192" s="27"/>
      <c r="H192" s="27"/>
      <c r="I192" s="27"/>
      <c r="J192" s="25" t="s">
        <v>38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5" t="s">
        <v>94</v>
      </c>
      <c r="W192" s="25" t="s">
        <v>94</v>
      </c>
      <c r="X192" s="25" t="s">
        <v>94</v>
      </c>
      <c r="Y192" s="27"/>
      <c r="Z192" s="25" t="s">
        <v>94</v>
      </c>
      <c r="AA192" s="25" t="s">
        <v>94</v>
      </c>
      <c r="AB192" s="27"/>
      <c r="AC192" s="25" t="s">
        <v>94</v>
      </c>
      <c r="AD192" s="25" t="s">
        <v>108</v>
      </c>
      <c r="AE192" s="27"/>
      <c r="AF192" s="27"/>
      <c r="AG192" s="27"/>
      <c r="AH192" s="27"/>
      <c r="AI192" s="25" t="s">
        <v>38</v>
      </c>
      <c r="AJ192" s="27"/>
      <c r="AL192">
        <f t="shared" si="30"/>
        <v>4</v>
      </c>
      <c r="AM192">
        <f t="shared" si="31"/>
        <v>0</v>
      </c>
      <c r="AN192">
        <f t="shared" si="32"/>
        <v>1</v>
      </c>
      <c r="AO192">
        <f t="shared" si="33"/>
        <v>6</v>
      </c>
      <c r="AP192">
        <f t="shared" si="34"/>
        <v>0</v>
      </c>
      <c r="AQ192">
        <f t="shared" si="35"/>
        <v>5</v>
      </c>
      <c r="AS192" s="90">
        <v>4164</v>
      </c>
      <c r="AT192" s="90" t="s">
        <v>567</v>
      </c>
    </row>
    <row r="193" spans="1:46" ht="21" customHeight="1" thickBot="1">
      <c r="A193" s="33" t="s">
        <v>339</v>
      </c>
      <c r="B193" s="7" t="s">
        <v>570</v>
      </c>
      <c r="C193" s="7" t="s">
        <v>571</v>
      </c>
      <c r="D193" s="7">
        <v>3146877840</v>
      </c>
      <c r="E193" s="129">
        <v>10</v>
      </c>
      <c r="F193" s="130">
        <v>45658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 t="s">
        <v>38</v>
      </c>
      <c r="U193" s="6"/>
      <c r="V193" s="6"/>
      <c r="W193" s="6"/>
      <c r="X193" s="6"/>
      <c r="Y193" s="7" t="s">
        <v>38</v>
      </c>
      <c r="Z193" s="7" t="s">
        <v>38</v>
      </c>
      <c r="AA193" s="7" t="s">
        <v>38</v>
      </c>
      <c r="AB193" s="7" t="s">
        <v>38</v>
      </c>
      <c r="AC193" s="7" t="s">
        <v>38</v>
      </c>
      <c r="AD193" s="7" t="s">
        <v>108</v>
      </c>
      <c r="AE193" s="6"/>
      <c r="AF193" s="6"/>
      <c r="AG193" s="6"/>
      <c r="AH193" s="6"/>
      <c r="AI193" s="7" t="s">
        <v>38</v>
      </c>
      <c r="AJ193" s="6"/>
      <c r="AL193">
        <f t="shared" si="30"/>
        <v>0</v>
      </c>
      <c r="AM193">
        <f t="shared" si="31"/>
        <v>3</v>
      </c>
      <c r="AN193">
        <f t="shared" si="32"/>
        <v>4</v>
      </c>
      <c r="AO193">
        <f t="shared" si="33"/>
        <v>5</v>
      </c>
      <c r="AP193">
        <f t="shared" si="34"/>
        <v>0</v>
      </c>
      <c r="AQ193">
        <f t="shared" si="35"/>
        <v>5</v>
      </c>
      <c r="AS193" s="90">
        <v>4164</v>
      </c>
      <c r="AT193" s="90" t="s">
        <v>567</v>
      </c>
    </row>
    <row r="194" spans="1:46" ht="21" customHeight="1" thickBot="1">
      <c r="A194" s="33" t="s">
        <v>339</v>
      </c>
      <c r="B194" s="7" t="s">
        <v>572</v>
      </c>
      <c r="C194" s="7" t="s">
        <v>573</v>
      </c>
      <c r="D194" s="7">
        <v>3137263124</v>
      </c>
      <c r="E194" s="129">
        <v>20</v>
      </c>
      <c r="F194" s="130">
        <v>45383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 t="s">
        <v>38</v>
      </c>
      <c r="U194" s="6"/>
      <c r="V194" s="6"/>
      <c r="W194" s="6"/>
      <c r="X194" s="6"/>
      <c r="Y194" s="7" t="s">
        <v>38</v>
      </c>
      <c r="Z194" s="7" t="s">
        <v>38</v>
      </c>
      <c r="AA194" s="7" t="s">
        <v>38</v>
      </c>
      <c r="AB194" s="7" t="s">
        <v>38</v>
      </c>
      <c r="AC194" s="7" t="s">
        <v>38</v>
      </c>
      <c r="AD194" s="7" t="s">
        <v>108</v>
      </c>
      <c r="AE194" s="6"/>
      <c r="AF194" s="6"/>
      <c r="AG194" s="7" t="s">
        <v>38</v>
      </c>
      <c r="AH194" s="6"/>
      <c r="AI194" s="6"/>
      <c r="AJ194" s="6"/>
      <c r="AL194">
        <f t="shared" si="30"/>
        <v>0</v>
      </c>
      <c r="AM194">
        <f t="shared" si="31"/>
        <v>3</v>
      </c>
      <c r="AN194">
        <f t="shared" si="32"/>
        <v>4</v>
      </c>
      <c r="AO194">
        <f t="shared" si="33"/>
        <v>5</v>
      </c>
      <c r="AP194">
        <f t="shared" si="34"/>
        <v>0</v>
      </c>
      <c r="AQ194">
        <f t="shared" si="35"/>
        <v>3</v>
      </c>
      <c r="AS194" s="90">
        <v>4164</v>
      </c>
      <c r="AT194" s="90" t="s">
        <v>567</v>
      </c>
    </row>
    <row r="195" spans="1:46" ht="21" customHeight="1" thickBot="1">
      <c r="A195" s="33" t="s">
        <v>574</v>
      </c>
      <c r="B195" s="7" t="s">
        <v>575</v>
      </c>
      <c r="C195" s="7" t="s">
        <v>576</v>
      </c>
      <c r="D195" s="7">
        <v>3167241963</v>
      </c>
      <c r="E195" s="129">
        <v>8</v>
      </c>
      <c r="F195" s="130">
        <v>45323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 t="s">
        <v>38</v>
      </c>
      <c r="V195" s="7" t="s">
        <v>94</v>
      </c>
      <c r="W195" s="7" t="s">
        <v>94</v>
      </c>
      <c r="X195" s="7" t="s">
        <v>94</v>
      </c>
      <c r="Y195" s="7" t="s">
        <v>94</v>
      </c>
      <c r="Z195" s="7" t="s">
        <v>94</v>
      </c>
      <c r="AA195" s="7" t="s">
        <v>94</v>
      </c>
      <c r="AB195" s="7" t="s">
        <v>94</v>
      </c>
      <c r="AC195" s="7" t="s">
        <v>94</v>
      </c>
      <c r="AD195" s="7" t="s">
        <v>416</v>
      </c>
      <c r="AE195" s="6"/>
      <c r="AF195" s="6"/>
      <c r="AG195" s="6"/>
      <c r="AH195" s="6"/>
      <c r="AI195" s="7" t="s">
        <v>38</v>
      </c>
      <c r="AJ195" s="6"/>
      <c r="AL195">
        <f t="shared" si="30"/>
        <v>0</v>
      </c>
      <c r="AM195">
        <f t="shared" si="31"/>
        <v>4</v>
      </c>
      <c r="AN195">
        <f t="shared" si="32"/>
        <v>5</v>
      </c>
      <c r="AO195">
        <f t="shared" si="33"/>
        <v>8</v>
      </c>
      <c r="AP195">
        <f t="shared" si="34"/>
        <v>1</v>
      </c>
      <c r="AQ195">
        <f t="shared" si="35"/>
        <v>5</v>
      </c>
      <c r="AS195" s="90">
        <v>4164</v>
      </c>
      <c r="AT195" s="90" t="s">
        <v>567</v>
      </c>
    </row>
    <row r="196" spans="1:46" ht="21" customHeight="1" thickBot="1">
      <c r="A196" s="33" t="s">
        <v>574</v>
      </c>
      <c r="B196" s="7" t="s">
        <v>577</v>
      </c>
      <c r="C196" s="7" t="s">
        <v>578</v>
      </c>
      <c r="D196" s="7">
        <v>3148162588</v>
      </c>
      <c r="E196" s="129">
        <v>8</v>
      </c>
      <c r="F196" s="130">
        <v>45444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 t="s">
        <v>38</v>
      </c>
      <c r="U196" s="6"/>
      <c r="V196" s="7" t="s">
        <v>94</v>
      </c>
      <c r="W196" s="7" t="s">
        <v>94</v>
      </c>
      <c r="X196" s="7" t="s">
        <v>94</v>
      </c>
      <c r="Y196" s="7" t="s">
        <v>94</v>
      </c>
      <c r="Z196" s="7" t="s">
        <v>94</v>
      </c>
      <c r="AA196" s="6"/>
      <c r="AB196" s="6"/>
      <c r="AC196" s="6"/>
      <c r="AD196" s="7" t="s">
        <v>416</v>
      </c>
      <c r="AE196" s="6"/>
      <c r="AF196" s="6"/>
      <c r="AG196" s="7" t="s">
        <v>38</v>
      </c>
      <c r="AH196" s="6"/>
      <c r="AI196" s="6"/>
      <c r="AJ196" s="6"/>
      <c r="AL196">
        <f t="shared" si="30"/>
        <v>0</v>
      </c>
      <c r="AM196">
        <f t="shared" si="31"/>
        <v>3</v>
      </c>
      <c r="AN196">
        <f t="shared" si="32"/>
        <v>4</v>
      </c>
      <c r="AO196">
        <f t="shared" si="33"/>
        <v>5</v>
      </c>
      <c r="AP196">
        <f t="shared" si="34"/>
        <v>1</v>
      </c>
      <c r="AQ196">
        <f t="shared" si="35"/>
        <v>3</v>
      </c>
      <c r="AS196" s="90">
        <v>4164</v>
      </c>
      <c r="AT196" s="90" t="s">
        <v>567</v>
      </c>
    </row>
    <row r="197" spans="1:46" ht="21" customHeight="1" thickBot="1">
      <c r="A197" s="33" t="s">
        <v>574</v>
      </c>
      <c r="B197" s="7" t="s">
        <v>579</v>
      </c>
      <c r="C197" s="7" t="s">
        <v>580</v>
      </c>
      <c r="D197" s="7">
        <v>3005008538</v>
      </c>
      <c r="E197" s="129">
        <v>27</v>
      </c>
      <c r="F197" s="130">
        <v>45383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7" t="s">
        <v>38</v>
      </c>
      <c r="U197" s="6"/>
      <c r="V197" s="7" t="s">
        <v>94</v>
      </c>
      <c r="W197" s="7" t="s">
        <v>94</v>
      </c>
      <c r="X197" s="7" t="s">
        <v>94</v>
      </c>
      <c r="Y197" s="7" t="s">
        <v>94</v>
      </c>
      <c r="Z197" s="7" t="s">
        <v>94</v>
      </c>
      <c r="AA197" s="7" t="s">
        <v>94</v>
      </c>
      <c r="AB197" s="6"/>
      <c r="AC197" s="6"/>
      <c r="AD197" s="7" t="s">
        <v>416</v>
      </c>
      <c r="AE197" s="6"/>
      <c r="AF197" s="6"/>
      <c r="AG197" s="6"/>
      <c r="AH197" s="6"/>
      <c r="AI197" s="7" t="s">
        <v>38</v>
      </c>
      <c r="AJ197" s="6"/>
      <c r="AL197">
        <f t="shared" si="30"/>
        <v>0</v>
      </c>
      <c r="AM197">
        <f t="shared" si="31"/>
        <v>3</v>
      </c>
      <c r="AN197">
        <f t="shared" si="32"/>
        <v>4</v>
      </c>
      <c r="AO197">
        <f t="shared" si="33"/>
        <v>6</v>
      </c>
      <c r="AP197">
        <f t="shared" si="34"/>
        <v>1</v>
      </c>
      <c r="AQ197">
        <f t="shared" si="35"/>
        <v>5</v>
      </c>
      <c r="AS197" s="90">
        <v>4164</v>
      </c>
      <c r="AT197" s="90" t="s">
        <v>567</v>
      </c>
    </row>
    <row r="198" spans="1:46" ht="21" customHeight="1" thickBot="1">
      <c r="A198" s="33" t="s">
        <v>574</v>
      </c>
      <c r="B198" s="131" t="s">
        <v>581</v>
      </c>
      <c r="C198" s="131" t="s">
        <v>582</v>
      </c>
      <c r="D198" s="131">
        <v>3027519023</v>
      </c>
      <c r="E198" s="107">
        <v>9</v>
      </c>
      <c r="F198" s="130">
        <v>45778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38</v>
      </c>
      <c r="S198" s="6"/>
      <c r="T198" s="6"/>
      <c r="U198" s="6"/>
      <c r="V198" s="6"/>
      <c r="W198" s="6"/>
      <c r="X198" s="6"/>
      <c r="Y198" s="7" t="s">
        <v>94</v>
      </c>
      <c r="Z198" s="6"/>
      <c r="AA198" s="6"/>
      <c r="AB198" s="6"/>
      <c r="AC198" s="6"/>
      <c r="AD198" s="7" t="s">
        <v>416</v>
      </c>
      <c r="AE198" s="6"/>
      <c r="AF198" s="7" t="s">
        <v>38</v>
      </c>
      <c r="AG198" s="6"/>
      <c r="AH198" s="6"/>
      <c r="AI198" s="6"/>
      <c r="AJ198" s="6"/>
      <c r="AL198">
        <f t="shared" si="30"/>
        <v>0</v>
      </c>
      <c r="AM198">
        <f t="shared" si="31"/>
        <v>1</v>
      </c>
      <c r="AN198">
        <f t="shared" si="32"/>
        <v>2</v>
      </c>
      <c r="AO198">
        <f t="shared" si="33"/>
        <v>1</v>
      </c>
      <c r="AP198">
        <f t="shared" si="34"/>
        <v>1</v>
      </c>
      <c r="AQ198">
        <f t="shared" si="35"/>
        <v>2</v>
      </c>
      <c r="AS198" s="90">
        <v>4164</v>
      </c>
      <c r="AT198" s="90" t="s">
        <v>567</v>
      </c>
    </row>
    <row r="199" spans="1:46" ht="21" customHeight="1" thickBot="1">
      <c r="A199" s="132" t="s">
        <v>583</v>
      </c>
      <c r="B199" s="133" t="s">
        <v>584</v>
      </c>
      <c r="C199" s="134">
        <v>3012266871</v>
      </c>
      <c r="D199" s="134">
        <v>6</v>
      </c>
      <c r="E199" s="130">
        <v>45413</v>
      </c>
      <c r="F199" s="109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7" t="s">
        <v>38</v>
      </c>
      <c r="T199" s="6"/>
      <c r="U199" s="6"/>
      <c r="V199" s="6"/>
      <c r="W199" s="6"/>
      <c r="X199" s="7" t="s">
        <v>38</v>
      </c>
      <c r="Y199" s="7" t="s">
        <v>38</v>
      </c>
      <c r="Z199" s="6"/>
      <c r="AA199" s="6"/>
      <c r="AB199" s="6"/>
      <c r="AC199" s="7" t="s">
        <v>108</v>
      </c>
      <c r="AD199" s="7" t="s">
        <v>108</v>
      </c>
      <c r="AE199" s="6"/>
      <c r="AF199" s="7" t="s">
        <v>38</v>
      </c>
      <c r="AG199" s="6"/>
      <c r="AH199" s="6"/>
      <c r="AI199" s="6"/>
      <c r="AJ199" s="6"/>
      <c r="AL199">
        <f t="shared" si="30"/>
        <v>0</v>
      </c>
      <c r="AM199">
        <f t="shared" si="31"/>
        <v>2</v>
      </c>
      <c r="AN199">
        <f t="shared" si="32"/>
        <v>3</v>
      </c>
      <c r="AO199">
        <f t="shared" si="33"/>
        <v>2</v>
      </c>
      <c r="AP199">
        <f t="shared" si="34"/>
        <v>0</v>
      </c>
      <c r="AQ199">
        <f t="shared" si="35"/>
        <v>2</v>
      </c>
      <c r="AS199" s="90">
        <v>4164</v>
      </c>
      <c r="AT199" s="90" t="s">
        <v>567</v>
      </c>
    </row>
    <row r="200" spans="1:46" ht="21" customHeight="1" thickTop="1" thickBot="1">
      <c r="A200" s="132" t="s">
        <v>585</v>
      </c>
      <c r="B200" s="133" t="s">
        <v>586</v>
      </c>
      <c r="C200" s="134">
        <v>3174357055</v>
      </c>
      <c r="D200" s="134">
        <v>4</v>
      </c>
      <c r="E200" s="130">
        <v>44409</v>
      </c>
      <c r="F200" s="109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7" t="s">
        <v>94</v>
      </c>
      <c r="U200" s="6"/>
      <c r="V200" s="7" t="s">
        <v>94</v>
      </c>
      <c r="W200" s="7" t="s">
        <v>94</v>
      </c>
      <c r="X200" s="7" t="s">
        <v>94</v>
      </c>
      <c r="Y200" s="6"/>
      <c r="Z200" s="6"/>
      <c r="AA200" s="6"/>
      <c r="AB200" s="6"/>
      <c r="AC200" s="6"/>
      <c r="AD200" s="7" t="s">
        <v>108</v>
      </c>
      <c r="AE200" s="6"/>
      <c r="AF200" s="6"/>
      <c r="AG200" s="6"/>
      <c r="AH200" s="7" t="s">
        <v>38</v>
      </c>
      <c r="AI200" s="6"/>
      <c r="AJ200" s="6"/>
      <c r="AL200">
        <f t="shared" si="30"/>
        <v>0</v>
      </c>
      <c r="AM200">
        <f t="shared" si="31"/>
        <v>3</v>
      </c>
      <c r="AN200">
        <f t="shared" si="32"/>
        <v>4</v>
      </c>
      <c r="AO200">
        <f t="shared" si="33"/>
        <v>3</v>
      </c>
      <c r="AP200">
        <f t="shared" si="34"/>
        <v>0</v>
      </c>
      <c r="AQ200">
        <f t="shared" si="35"/>
        <v>4</v>
      </c>
      <c r="AS200" s="90">
        <v>4164</v>
      </c>
      <c r="AT200" s="90" t="s">
        <v>567</v>
      </c>
    </row>
    <row r="201" spans="1:46" ht="21" customHeight="1" thickTop="1" thickBot="1">
      <c r="A201" s="132" t="s">
        <v>585</v>
      </c>
      <c r="B201" s="133" t="s">
        <v>587</v>
      </c>
      <c r="C201" s="134">
        <v>3113187585</v>
      </c>
      <c r="D201" s="134">
        <v>8</v>
      </c>
      <c r="E201" s="130">
        <v>45323</v>
      </c>
      <c r="F201" s="109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7" t="s">
        <v>94</v>
      </c>
      <c r="T201" s="6"/>
      <c r="U201" s="6"/>
      <c r="V201" s="6"/>
      <c r="W201" s="6"/>
      <c r="X201" s="7" t="s">
        <v>94</v>
      </c>
      <c r="Y201" s="6"/>
      <c r="Z201" s="6"/>
      <c r="AA201" s="6"/>
      <c r="AB201" s="6"/>
      <c r="AC201" s="6"/>
      <c r="AD201" s="7" t="s">
        <v>108</v>
      </c>
      <c r="AE201" s="6"/>
      <c r="AF201" s="6"/>
      <c r="AG201" s="7" t="s">
        <v>38</v>
      </c>
      <c r="AH201" s="6"/>
      <c r="AI201" s="6"/>
      <c r="AJ201" s="6"/>
      <c r="AL201">
        <f t="shared" si="30"/>
        <v>0</v>
      </c>
      <c r="AM201">
        <f t="shared" si="31"/>
        <v>2</v>
      </c>
      <c r="AN201">
        <f t="shared" si="32"/>
        <v>3</v>
      </c>
      <c r="AO201">
        <f t="shared" si="33"/>
        <v>1</v>
      </c>
      <c r="AP201">
        <f t="shared" si="34"/>
        <v>0</v>
      </c>
      <c r="AQ201">
        <f t="shared" si="35"/>
        <v>3</v>
      </c>
      <c r="AS201" s="90">
        <v>4164</v>
      </c>
      <c r="AT201" s="90" t="s">
        <v>567</v>
      </c>
    </row>
    <row r="202" spans="1:46" ht="21" customHeight="1" thickTop="1" thickBot="1">
      <c r="A202" s="132" t="s">
        <v>585</v>
      </c>
      <c r="B202" s="133" t="s">
        <v>588</v>
      </c>
      <c r="C202" s="134">
        <v>3106334581</v>
      </c>
      <c r="D202" s="134">
        <v>5</v>
      </c>
      <c r="E202" s="130">
        <v>45292</v>
      </c>
      <c r="F202" s="109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7" t="s">
        <v>94</v>
      </c>
      <c r="Y202" s="6"/>
      <c r="Z202" s="6"/>
      <c r="AA202" s="6"/>
      <c r="AB202" s="6"/>
      <c r="AC202" s="6"/>
      <c r="AD202" s="7" t="s">
        <v>108</v>
      </c>
      <c r="AE202" s="6"/>
      <c r="AF202" s="6"/>
      <c r="AG202" s="6"/>
      <c r="AH202" s="7" t="s">
        <v>38</v>
      </c>
      <c r="AI202" s="6"/>
      <c r="AJ202" s="6"/>
      <c r="AL202">
        <f t="shared" si="30"/>
        <v>0</v>
      </c>
      <c r="AM202">
        <f t="shared" si="31"/>
        <v>0</v>
      </c>
      <c r="AN202" t="str">
        <f t="shared" si="32"/>
        <v/>
      </c>
      <c r="AO202">
        <f t="shared" si="33"/>
        <v>1</v>
      </c>
      <c r="AP202">
        <f t="shared" si="34"/>
        <v>0</v>
      </c>
      <c r="AQ202">
        <f t="shared" si="35"/>
        <v>4</v>
      </c>
      <c r="AS202" s="90">
        <v>4164</v>
      </c>
      <c r="AT202" s="90" t="s">
        <v>567</v>
      </c>
    </row>
    <row r="203" spans="1:46" ht="21" customHeight="1" thickTop="1" thickBot="1">
      <c r="A203" s="132" t="s">
        <v>585</v>
      </c>
      <c r="B203" s="133" t="s">
        <v>589</v>
      </c>
      <c r="C203" s="134">
        <v>3217094086</v>
      </c>
      <c r="D203" s="134">
        <v>8</v>
      </c>
      <c r="E203" s="130">
        <v>45292</v>
      </c>
      <c r="F203" s="109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7" t="s">
        <v>94</v>
      </c>
      <c r="Y203" s="6"/>
      <c r="Z203" s="6"/>
      <c r="AA203" s="6"/>
      <c r="AB203" s="6"/>
      <c r="AC203" s="6"/>
      <c r="AD203" s="7" t="s">
        <v>108</v>
      </c>
      <c r="AE203" s="6"/>
      <c r="AF203" s="6"/>
      <c r="AG203" s="6"/>
      <c r="AH203" s="7" t="s">
        <v>38</v>
      </c>
      <c r="AI203" s="6"/>
      <c r="AJ203" s="6"/>
      <c r="AL203">
        <f t="shared" si="30"/>
        <v>0</v>
      </c>
      <c r="AM203">
        <f t="shared" si="31"/>
        <v>0</v>
      </c>
      <c r="AN203" t="str">
        <f t="shared" si="32"/>
        <v/>
      </c>
      <c r="AO203">
        <f t="shared" si="33"/>
        <v>1</v>
      </c>
      <c r="AP203">
        <f t="shared" si="34"/>
        <v>0</v>
      </c>
      <c r="AQ203">
        <f t="shared" si="35"/>
        <v>4</v>
      </c>
      <c r="AS203" s="90">
        <v>4164</v>
      </c>
      <c r="AT203" s="90" t="s">
        <v>567</v>
      </c>
    </row>
    <row r="204" spans="1:46" ht="21" customHeight="1" thickTop="1" thickBot="1">
      <c r="A204" s="132" t="s">
        <v>590</v>
      </c>
      <c r="B204" s="133" t="s">
        <v>591</v>
      </c>
      <c r="C204" s="134">
        <v>3012266871</v>
      </c>
      <c r="D204" s="134">
        <v>10</v>
      </c>
      <c r="E204" s="130">
        <v>45413</v>
      </c>
      <c r="F204" s="109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7" t="s">
        <v>38</v>
      </c>
      <c r="U204" s="6"/>
      <c r="V204" s="6"/>
      <c r="W204" s="6"/>
      <c r="X204" s="7" t="s">
        <v>38</v>
      </c>
      <c r="Y204" s="6"/>
      <c r="Z204" s="6"/>
      <c r="AA204" s="6"/>
      <c r="AB204" s="6"/>
      <c r="AC204" s="7" t="s">
        <v>108</v>
      </c>
      <c r="AD204" s="7" t="s">
        <v>108</v>
      </c>
      <c r="AE204" s="6"/>
      <c r="AF204" s="6"/>
      <c r="AG204" s="6"/>
      <c r="AH204" s="7" t="s">
        <v>38</v>
      </c>
      <c r="AI204" s="6"/>
      <c r="AJ204" s="6"/>
      <c r="AL204">
        <f t="shared" si="30"/>
        <v>0</v>
      </c>
      <c r="AM204">
        <f t="shared" si="31"/>
        <v>3</v>
      </c>
      <c r="AN204">
        <f t="shared" si="32"/>
        <v>4</v>
      </c>
      <c r="AO204">
        <f t="shared" si="33"/>
        <v>1</v>
      </c>
      <c r="AP204">
        <f t="shared" si="34"/>
        <v>0</v>
      </c>
      <c r="AQ204">
        <f t="shared" si="35"/>
        <v>4</v>
      </c>
      <c r="AS204" s="90">
        <v>4164</v>
      </c>
      <c r="AT204" s="90" t="s">
        <v>567</v>
      </c>
    </row>
    <row r="205" spans="1:46" ht="21" customHeight="1" thickTop="1" thickBot="1">
      <c r="A205" s="135" t="s">
        <v>592</v>
      </c>
      <c r="B205" s="136" t="s">
        <v>593</v>
      </c>
      <c r="C205" s="137" t="s">
        <v>594</v>
      </c>
      <c r="D205" s="138">
        <v>3508136668</v>
      </c>
      <c r="E205" s="100">
        <v>20</v>
      </c>
      <c r="F205" s="139">
        <v>45748</v>
      </c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 t="s">
        <v>38</v>
      </c>
      <c r="V205" s="136" t="s">
        <v>38</v>
      </c>
      <c r="W205" s="99"/>
      <c r="X205" s="99"/>
      <c r="Y205" s="99"/>
      <c r="Z205" s="136" t="s">
        <v>38</v>
      </c>
      <c r="AA205" s="99" t="s">
        <v>38</v>
      </c>
      <c r="AB205" s="136" t="s">
        <v>38</v>
      </c>
      <c r="AC205" s="99"/>
      <c r="AD205" s="100" t="s">
        <v>416</v>
      </c>
      <c r="AE205" s="98"/>
      <c r="AF205" s="99"/>
      <c r="AG205" s="140"/>
      <c r="AH205" s="38"/>
      <c r="AI205" s="37" t="s">
        <v>38</v>
      </c>
      <c r="AJ205" s="38"/>
      <c r="AL205">
        <f t="shared" si="30"/>
        <v>0</v>
      </c>
      <c r="AM205">
        <f t="shared" si="31"/>
        <v>4</v>
      </c>
      <c r="AN205">
        <f t="shared" si="32"/>
        <v>5</v>
      </c>
      <c r="AO205">
        <f t="shared" si="33"/>
        <v>4</v>
      </c>
      <c r="AP205">
        <f t="shared" si="34"/>
        <v>1</v>
      </c>
      <c r="AQ205">
        <f t="shared" si="35"/>
        <v>5</v>
      </c>
      <c r="AS205" s="90">
        <v>4161</v>
      </c>
      <c r="AT205" s="90" t="s">
        <v>627</v>
      </c>
    </row>
    <row r="206" spans="1:46" ht="21" customHeight="1" thickTop="1" thickBot="1">
      <c r="A206" s="141" t="s">
        <v>592</v>
      </c>
      <c r="B206" s="133" t="s">
        <v>595</v>
      </c>
      <c r="C206" s="142" t="s">
        <v>596</v>
      </c>
      <c r="D206" s="134">
        <v>3104287190</v>
      </c>
      <c r="E206" s="110">
        <v>40</v>
      </c>
      <c r="F206" s="143">
        <v>45748</v>
      </c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10" t="s">
        <v>38</v>
      </c>
      <c r="V206" s="109"/>
      <c r="W206" s="109"/>
      <c r="X206" s="133" t="s">
        <v>38</v>
      </c>
      <c r="Y206" s="133" t="s">
        <v>38</v>
      </c>
      <c r="Z206" s="133" t="s">
        <v>38</v>
      </c>
      <c r="AA206" s="109"/>
      <c r="AB206" s="109"/>
      <c r="AC206" s="109"/>
      <c r="AD206" s="110" t="s">
        <v>416</v>
      </c>
      <c r="AE206" s="108"/>
      <c r="AF206" s="109"/>
      <c r="AG206" s="144" t="s">
        <v>38</v>
      </c>
      <c r="AH206" s="44"/>
      <c r="AI206" s="44"/>
      <c r="AJ206" s="44"/>
      <c r="AL206">
        <f t="shared" si="30"/>
        <v>0</v>
      </c>
      <c r="AM206">
        <f t="shared" si="31"/>
        <v>4</v>
      </c>
      <c r="AN206">
        <f t="shared" si="32"/>
        <v>5</v>
      </c>
      <c r="AO206">
        <f t="shared" si="33"/>
        <v>3</v>
      </c>
      <c r="AP206">
        <f t="shared" si="34"/>
        <v>1</v>
      </c>
      <c r="AQ206">
        <f t="shared" si="35"/>
        <v>3</v>
      </c>
      <c r="AS206" s="90">
        <v>4161</v>
      </c>
      <c r="AT206" s="90" t="s">
        <v>627</v>
      </c>
    </row>
    <row r="207" spans="1:46" ht="21" customHeight="1" thickTop="1" thickBot="1">
      <c r="A207" s="141" t="s">
        <v>592</v>
      </c>
      <c r="B207" s="133" t="s">
        <v>597</v>
      </c>
      <c r="C207" s="142" t="s">
        <v>598</v>
      </c>
      <c r="D207" s="134">
        <v>3187918567</v>
      </c>
      <c r="E207" s="110">
        <v>12</v>
      </c>
      <c r="F207" s="143">
        <v>45809</v>
      </c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10" t="s">
        <v>38</v>
      </c>
      <c r="V207" s="109"/>
      <c r="W207" s="133" t="s">
        <v>38</v>
      </c>
      <c r="X207" s="133" t="s">
        <v>38</v>
      </c>
      <c r="Y207" s="133" t="s">
        <v>38</v>
      </c>
      <c r="Z207" s="109"/>
      <c r="AA207" s="109"/>
      <c r="AB207" s="109"/>
      <c r="AC207" s="109"/>
      <c r="AD207" s="110" t="s">
        <v>416</v>
      </c>
      <c r="AE207" s="108"/>
      <c r="AF207" s="109"/>
      <c r="AG207" s="144" t="s">
        <v>38</v>
      </c>
      <c r="AH207" s="44"/>
      <c r="AI207" s="44"/>
      <c r="AJ207" s="44"/>
      <c r="AL207">
        <f t="shared" si="30"/>
        <v>0</v>
      </c>
      <c r="AM207">
        <f t="shared" si="31"/>
        <v>4</v>
      </c>
      <c r="AN207">
        <f t="shared" si="32"/>
        <v>5</v>
      </c>
      <c r="AO207">
        <f t="shared" si="33"/>
        <v>3</v>
      </c>
      <c r="AP207">
        <f t="shared" si="34"/>
        <v>1</v>
      </c>
      <c r="AQ207">
        <f t="shared" si="35"/>
        <v>3</v>
      </c>
      <c r="AS207" s="90">
        <v>4161</v>
      </c>
      <c r="AT207" s="90" t="s">
        <v>627</v>
      </c>
    </row>
    <row r="208" spans="1:46" ht="21" customHeight="1" thickTop="1" thickBot="1">
      <c r="A208" s="141" t="s">
        <v>592</v>
      </c>
      <c r="B208" s="133" t="s">
        <v>599</v>
      </c>
      <c r="C208" s="142" t="s">
        <v>600</v>
      </c>
      <c r="D208" s="134">
        <v>3164462247</v>
      </c>
      <c r="E208" s="110">
        <v>7</v>
      </c>
      <c r="F208" s="143">
        <v>45689</v>
      </c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10" t="s">
        <v>38</v>
      </c>
      <c r="V208" s="133" t="s">
        <v>38</v>
      </c>
      <c r="W208" s="133" t="s">
        <v>38</v>
      </c>
      <c r="X208" s="133" t="s">
        <v>38</v>
      </c>
      <c r="Y208" s="133" t="s">
        <v>38</v>
      </c>
      <c r="Z208" s="133" t="s">
        <v>38</v>
      </c>
      <c r="AA208" s="133" t="s">
        <v>38</v>
      </c>
      <c r="AB208" s="133" t="s">
        <v>38</v>
      </c>
      <c r="AC208" s="133" t="s">
        <v>38</v>
      </c>
      <c r="AD208" s="110" t="s">
        <v>416</v>
      </c>
      <c r="AE208" s="108"/>
      <c r="AF208" s="109"/>
      <c r="AG208" s="145"/>
      <c r="AH208" s="43" t="s">
        <v>38</v>
      </c>
      <c r="AI208" s="44"/>
      <c r="AJ208" s="44"/>
      <c r="AL208">
        <f t="shared" si="30"/>
        <v>0</v>
      </c>
      <c r="AM208">
        <f t="shared" si="31"/>
        <v>4</v>
      </c>
      <c r="AN208">
        <f t="shared" si="32"/>
        <v>5</v>
      </c>
      <c r="AO208">
        <f t="shared" si="33"/>
        <v>8</v>
      </c>
      <c r="AP208">
        <f t="shared" si="34"/>
        <v>1</v>
      </c>
      <c r="AQ208">
        <f t="shared" si="35"/>
        <v>4</v>
      </c>
      <c r="AS208" s="90">
        <v>4161</v>
      </c>
      <c r="AT208" s="90" t="s">
        <v>627</v>
      </c>
    </row>
    <row r="209" spans="1:46" ht="21" customHeight="1" thickTop="1" thickBot="1">
      <c r="A209" s="141" t="s">
        <v>592</v>
      </c>
      <c r="B209" s="133" t="s">
        <v>601</v>
      </c>
      <c r="C209" s="142" t="s">
        <v>602</v>
      </c>
      <c r="D209" s="134">
        <v>3104494799</v>
      </c>
      <c r="E209" s="110">
        <v>4</v>
      </c>
      <c r="F209" s="143">
        <v>45962</v>
      </c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10" t="s">
        <v>38</v>
      </c>
      <c r="V209" s="133" t="s">
        <v>38</v>
      </c>
      <c r="W209" s="133" t="s">
        <v>38</v>
      </c>
      <c r="X209" s="133" t="s">
        <v>38</v>
      </c>
      <c r="Y209" s="133" t="s">
        <v>38</v>
      </c>
      <c r="Z209" s="133" t="s">
        <v>38</v>
      </c>
      <c r="AA209" s="133" t="s">
        <v>38</v>
      </c>
      <c r="AB209" s="133" t="s">
        <v>38</v>
      </c>
      <c r="AC209" s="133" t="s">
        <v>38</v>
      </c>
      <c r="AD209" s="110" t="s">
        <v>416</v>
      </c>
      <c r="AE209" s="108"/>
      <c r="AF209" s="109"/>
      <c r="AG209" s="144" t="s">
        <v>38</v>
      </c>
      <c r="AH209" s="44"/>
      <c r="AI209" s="44"/>
      <c r="AJ209" s="44"/>
      <c r="AL209">
        <f t="shared" si="30"/>
        <v>0</v>
      </c>
      <c r="AM209">
        <f t="shared" si="31"/>
        <v>4</v>
      </c>
      <c r="AN209">
        <f t="shared" si="32"/>
        <v>5</v>
      </c>
      <c r="AO209">
        <f t="shared" si="33"/>
        <v>8</v>
      </c>
      <c r="AP209">
        <f t="shared" si="34"/>
        <v>1</v>
      </c>
      <c r="AQ209">
        <f t="shared" si="35"/>
        <v>3</v>
      </c>
      <c r="AS209" s="90">
        <v>4161</v>
      </c>
      <c r="AT209" s="90" t="s">
        <v>627</v>
      </c>
    </row>
    <row r="210" spans="1:46" ht="21" customHeight="1" thickTop="1" thickBot="1">
      <c r="A210" s="141" t="s">
        <v>592</v>
      </c>
      <c r="B210" s="133" t="s">
        <v>603</v>
      </c>
      <c r="C210" s="142" t="s">
        <v>604</v>
      </c>
      <c r="D210" s="134">
        <v>3112748399</v>
      </c>
      <c r="E210" s="146">
        <v>18</v>
      </c>
      <c r="F210" s="143">
        <v>45689</v>
      </c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10" t="s">
        <v>38</v>
      </c>
      <c r="U210" s="109"/>
      <c r="V210" s="133" t="s">
        <v>38</v>
      </c>
      <c r="W210" s="133" t="s">
        <v>38</v>
      </c>
      <c r="X210" s="133" t="s">
        <v>38</v>
      </c>
      <c r="Y210" s="133" t="s">
        <v>38</v>
      </c>
      <c r="Z210" s="133" t="s">
        <v>38</v>
      </c>
      <c r="AA210" s="133" t="s">
        <v>38</v>
      </c>
      <c r="AB210" s="133" t="s">
        <v>38</v>
      </c>
      <c r="AC210" s="109"/>
      <c r="AD210" s="110" t="s">
        <v>416</v>
      </c>
      <c r="AE210" s="108"/>
      <c r="AF210" s="109"/>
      <c r="AG210" s="144" t="s">
        <v>38</v>
      </c>
      <c r="AH210" s="44"/>
      <c r="AI210" s="44"/>
      <c r="AJ210" s="44"/>
      <c r="AL210">
        <f t="shared" si="30"/>
        <v>0</v>
      </c>
      <c r="AM210">
        <f t="shared" si="31"/>
        <v>3</v>
      </c>
      <c r="AN210">
        <f t="shared" si="32"/>
        <v>4</v>
      </c>
      <c r="AO210">
        <f t="shared" si="33"/>
        <v>7</v>
      </c>
      <c r="AP210">
        <f t="shared" si="34"/>
        <v>1</v>
      </c>
      <c r="AQ210">
        <f t="shared" si="35"/>
        <v>3</v>
      </c>
      <c r="AS210" s="90">
        <v>4161</v>
      </c>
      <c r="AT210" s="90" t="s">
        <v>627</v>
      </c>
    </row>
    <row r="211" spans="1:46" ht="21" customHeight="1" thickTop="1" thickBot="1">
      <c r="A211" s="141" t="s">
        <v>605</v>
      </c>
      <c r="B211" s="133" t="s">
        <v>606</v>
      </c>
      <c r="C211" s="142" t="s">
        <v>607</v>
      </c>
      <c r="D211" s="134">
        <v>3052967422</v>
      </c>
      <c r="E211" s="110">
        <v>9</v>
      </c>
      <c r="F211" s="143">
        <v>45292</v>
      </c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10" t="s">
        <v>38</v>
      </c>
      <c r="V211" s="133" t="s">
        <v>38</v>
      </c>
      <c r="W211" s="133" t="s">
        <v>38</v>
      </c>
      <c r="X211" s="133" t="s">
        <v>38</v>
      </c>
      <c r="Y211" s="133" t="s">
        <v>38</v>
      </c>
      <c r="Z211" s="133" t="s">
        <v>38</v>
      </c>
      <c r="AA211" s="133" t="s">
        <v>38</v>
      </c>
      <c r="AB211" s="133" t="s">
        <v>38</v>
      </c>
      <c r="AC211" s="133" t="s">
        <v>38</v>
      </c>
      <c r="AD211" s="110" t="s">
        <v>416</v>
      </c>
      <c r="AE211" s="108"/>
      <c r="AF211" s="109"/>
      <c r="AG211" s="145"/>
      <c r="AH211" s="44"/>
      <c r="AI211" s="43" t="s">
        <v>38</v>
      </c>
      <c r="AJ211" s="44"/>
      <c r="AL211">
        <f t="shared" si="30"/>
        <v>0</v>
      </c>
      <c r="AM211">
        <f t="shared" si="31"/>
        <v>4</v>
      </c>
      <c r="AN211">
        <f t="shared" si="32"/>
        <v>5</v>
      </c>
      <c r="AO211">
        <f t="shared" si="33"/>
        <v>8</v>
      </c>
      <c r="AP211">
        <f t="shared" si="34"/>
        <v>1</v>
      </c>
      <c r="AQ211">
        <f t="shared" si="35"/>
        <v>5</v>
      </c>
      <c r="AS211" s="90">
        <v>4161</v>
      </c>
      <c r="AT211" s="90" t="s">
        <v>627</v>
      </c>
    </row>
    <row r="212" spans="1:46" ht="21" customHeight="1" thickTop="1" thickBot="1">
      <c r="A212" s="141" t="s">
        <v>605</v>
      </c>
      <c r="B212" s="133" t="s">
        <v>608</v>
      </c>
      <c r="C212" s="133" t="s">
        <v>609</v>
      </c>
      <c r="D212" s="134">
        <v>3013714689</v>
      </c>
      <c r="E212" s="110">
        <v>13</v>
      </c>
      <c r="F212" s="143">
        <v>45901</v>
      </c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10" t="s">
        <v>38</v>
      </c>
      <c r="V212" s="109"/>
      <c r="W212" s="133" t="s">
        <v>38</v>
      </c>
      <c r="X212" s="133" t="s">
        <v>38</v>
      </c>
      <c r="Y212" s="109"/>
      <c r="Z212" s="133" t="s">
        <v>38</v>
      </c>
      <c r="AA212" s="133" t="s">
        <v>38</v>
      </c>
      <c r="AB212" s="109"/>
      <c r="AC212" s="147"/>
      <c r="AD212" s="110" t="s">
        <v>416</v>
      </c>
      <c r="AE212" s="108"/>
      <c r="AF212" s="109"/>
      <c r="AG212" s="145"/>
      <c r="AH212" s="43" t="s">
        <v>38</v>
      </c>
      <c r="AI212" s="44"/>
      <c r="AJ212" s="44"/>
      <c r="AL212">
        <f t="shared" si="30"/>
        <v>0</v>
      </c>
      <c r="AM212">
        <f t="shared" si="31"/>
        <v>4</v>
      </c>
      <c r="AN212">
        <f t="shared" si="32"/>
        <v>5</v>
      </c>
      <c r="AO212">
        <f t="shared" si="33"/>
        <v>4</v>
      </c>
      <c r="AP212">
        <f t="shared" si="34"/>
        <v>1</v>
      </c>
      <c r="AQ212">
        <f t="shared" si="35"/>
        <v>4</v>
      </c>
      <c r="AS212" s="90">
        <v>4161</v>
      </c>
      <c r="AT212" s="90" t="s">
        <v>627</v>
      </c>
    </row>
    <row r="213" spans="1:46" ht="21" customHeight="1" thickTop="1" thickBot="1">
      <c r="A213" s="141" t="s">
        <v>605</v>
      </c>
      <c r="B213" s="133" t="s">
        <v>610</v>
      </c>
      <c r="C213" s="142" t="s">
        <v>611</v>
      </c>
      <c r="D213" s="134">
        <v>3142059875</v>
      </c>
      <c r="E213" s="110">
        <v>12</v>
      </c>
      <c r="F213" s="143">
        <v>45292</v>
      </c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10" t="s">
        <v>38</v>
      </c>
      <c r="V213" s="109"/>
      <c r="W213" s="109"/>
      <c r="X213" s="109"/>
      <c r="Y213" s="109"/>
      <c r="Z213" s="133" t="s">
        <v>38</v>
      </c>
      <c r="AA213" s="133" t="s">
        <v>38</v>
      </c>
      <c r="AB213" s="133" t="s">
        <v>38</v>
      </c>
      <c r="AC213" s="109"/>
      <c r="AD213" s="110" t="s">
        <v>416</v>
      </c>
      <c r="AE213" s="108"/>
      <c r="AF213" s="109"/>
      <c r="AG213" s="145"/>
      <c r="AH213" s="44"/>
      <c r="AI213" s="43" t="s">
        <v>38</v>
      </c>
      <c r="AJ213" s="44"/>
      <c r="AL213">
        <f t="shared" si="30"/>
        <v>0</v>
      </c>
      <c r="AM213">
        <f t="shared" si="31"/>
        <v>4</v>
      </c>
      <c r="AN213">
        <f t="shared" si="32"/>
        <v>5</v>
      </c>
      <c r="AO213">
        <f t="shared" si="33"/>
        <v>3</v>
      </c>
      <c r="AP213">
        <f t="shared" si="34"/>
        <v>1</v>
      </c>
      <c r="AQ213">
        <f t="shared" si="35"/>
        <v>5</v>
      </c>
      <c r="AS213" s="90">
        <v>4161</v>
      </c>
      <c r="AT213" s="90" t="s">
        <v>627</v>
      </c>
    </row>
    <row r="214" spans="1:46" ht="21" customHeight="1" thickTop="1" thickBot="1">
      <c r="A214" s="141" t="s">
        <v>605</v>
      </c>
      <c r="B214" s="133" t="s">
        <v>612</v>
      </c>
      <c r="C214" s="142" t="s">
        <v>613</v>
      </c>
      <c r="D214" s="134">
        <v>3166416285</v>
      </c>
      <c r="E214" s="110">
        <v>3</v>
      </c>
      <c r="F214" s="143">
        <v>45627</v>
      </c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10" t="s">
        <v>38</v>
      </c>
      <c r="U214" s="109"/>
      <c r="V214" s="109"/>
      <c r="W214" s="109"/>
      <c r="X214" s="133" t="s">
        <v>38</v>
      </c>
      <c r="Y214" s="133" t="s">
        <v>38</v>
      </c>
      <c r="Z214" s="133" t="s">
        <v>38</v>
      </c>
      <c r="AA214" s="133" t="s">
        <v>38</v>
      </c>
      <c r="AB214" s="109"/>
      <c r="AC214" s="109"/>
      <c r="AD214" s="110" t="s">
        <v>416</v>
      </c>
      <c r="AE214" s="108"/>
      <c r="AF214" s="109"/>
      <c r="AG214" s="144" t="s">
        <v>38</v>
      </c>
      <c r="AH214" s="44"/>
      <c r="AI214" s="44"/>
      <c r="AJ214" s="44"/>
      <c r="AL214">
        <f t="shared" si="30"/>
        <v>0</v>
      </c>
      <c r="AM214">
        <f t="shared" si="31"/>
        <v>3</v>
      </c>
      <c r="AN214">
        <f t="shared" si="32"/>
        <v>4</v>
      </c>
      <c r="AO214">
        <f t="shared" si="33"/>
        <v>4</v>
      </c>
      <c r="AP214">
        <f t="shared" si="34"/>
        <v>1</v>
      </c>
      <c r="AQ214">
        <f t="shared" si="35"/>
        <v>3</v>
      </c>
      <c r="AS214" s="90">
        <v>4161</v>
      </c>
      <c r="AT214" s="90" t="s">
        <v>627</v>
      </c>
    </row>
    <row r="215" spans="1:46" ht="21" customHeight="1" thickTop="1" thickBot="1">
      <c r="A215" s="141" t="s">
        <v>605</v>
      </c>
      <c r="B215" s="133" t="s">
        <v>614</v>
      </c>
      <c r="C215" s="142" t="s">
        <v>615</v>
      </c>
      <c r="D215" s="134">
        <v>3223506816</v>
      </c>
      <c r="E215" s="110">
        <v>9</v>
      </c>
      <c r="F215" s="143">
        <v>45323</v>
      </c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10" t="s">
        <v>38</v>
      </c>
      <c r="V215" s="109"/>
      <c r="W215" s="109"/>
      <c r="X215" s="109"/>
      <c r="Y215" s="109"/>
      <c r="Z215" s="133" t="s">
        <v>38</v>
      </c>
      <c r="AA215" s="133" t="s">
        <v>38</v>
      </c>
      <c r="AB215" s="133" t="s">
        <v>38</v>
      </c>
      <c r="AC215" s="109"/>
      <c r="AD215" s="110" t="s">
        <v>416</v>
      </c>
      <c r="AE215" s="108"/>
      <c r="AF215" s="109"/>
      <c r="AG215" s="145"/>
      <c r="AH215" s="44"/>
      <c r="AI215" s="43" t="s">
        <v>38</v>
      </c>
      <c r="AJ215" s="44"/>
      <c r="AL215">
        <f t="shared" si="30"/>
        <v>0</v>
      </c>
      <c r="AM215">
        <f t="shared" si="31"/>
        <v>4</v>
      </c>
      <c r="AN215">
        <f t="shared" si="32"/>
        <v>5</v>
      </c>
      <c r="AO215">
        <f t="shared" si="33"/>
        <v>3</v>
      </c>
      <c r="AP215">
        <f t="shared" si="34"/>
        <v>1</v>
      </c>
      <c r="AQ215">
        <f t="shared" si="35"/>
        <v>5</v>
      </c>
      <c r="AS215" s="90">
        <v>4161</v>
      </c>
      <c r="AT215" s="90" t="s">
        <v>627</v>
      </c>
    </row>
    <row r="216" spans="1:46" ht="21" customHeight="1" thickTop="1" thickBot="1">
      <c r="A216" s="141" t="s">
        <v>605</v>
      </c>
      <c r="B216" s="133" t="s">
        <v>616</v>
      </c>
      <c r="C216" s="142" t="s">
        <v>617</v>
      </c>
      <c r="D216" s="134">
        <v>3162834262</v>
      </c>
      <c r="E216" s="110">
        <v>6</v>
      </c>
      <c r="F216" s="143">
        <v>45323</v>
      </c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10" t="s">
        <v>38</v>
      </c>
      <c r="V216" s="109"/>
      <c r="W216" s="109"/>
      <c r="X216" s="109"/>
      <c r="Y216" s="109"/>
      <c r="Z216" s="133" t="s">
        <v>38</v>
      </c>
      <c r="AA216" s="133" t="s">
        <v>38</v>
      </c>
      <c r="AB216" s="133" t="s">
        <v>38</v>
      </c>
      <c r="AC216" s="109"/>
      <c r="AD216" s="110" t="s">
        <v>416</v>
      </c>
      <c r="AE216" s="108"/>
      <c r="AF216" s="109"/>
      <c r="AG216" s="145"/>
      <c r="AH216" s="44"/>
      <c r="AI216" s="43" t="s">
        <v>38</v>
      </c>
      <c r="AJ216" s="44"/>
      <c r="AL216">
        <f t="shared" si="30"/>
        <v>0</v>
      </c>
      <c r="AM216">
        <f t="shared" si="31"/>
        <v>4</v>
      </c>
      <c r="AN216">
        <f t="shared" si="32"/>
        <v>5</v>
      </c>
      <c r="AO216">
        <f t="shared" si="33"/>
        <v>3</v>
      </c>
      <c r="AP216">
        <f t="shared" si="34"/>
        <v>1</v>
      </c>
      <c r="AQ216">
        <f t="shared" si="35"/>
        <v>5</v>
      </c>
      <c r="AS216" s="90">
        <v>4161</v>
      </c>
      <c r="AT216" s="90" t="s">
        <v>627</v>
      </c>
    </row>
    <row r="217" spans="1:46" ht="21" customHeight="1" thickTop="1" thickBot="1">
      <c r="A217" s="148" t="s">
        <v>618</v>
      </c>
      <c r="B217" s="107" t="s">
        <v>619</v>
      </c>
      <c r="C217" s="149" t="s">
        <v>620</v>
      </c>
      <c r="D217" s="107">
        <v>3006850825</v>
      </c>
      <c r="E217" s="107">
        <v>2</v>
      </c>
      <c r="F217" s="150">
        <v>45292</v>
      </c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7" t="s">
        <v>94</v>
      </c>
      <c r="W217" s="106"/>
      <c r="X217" s="106"/>
      <c r="Y217" s="106"/>
      <c r="Z217" s="107" t="s">
        <v>94</v>
      </c>
      <c r="AA217" s="107" t="s">
        <v>94</v>
      </c>
      <c r="AB217" s="106"/>
      <c r="AC217" s="106"/>
      <c r="AD217" s="107" t="s">
        <v>416</v>
      </c>
      <c r="AE217" s="106"/>
      <c r="AF217" s="106"/>
      <c r="AG217" s="151"/>
      <c r="AH217" s="6"/>
      <c r="AI217" s="7" t="s">
        <v>94</v>
      </c>
      <c r="AJ217" s="6"/>
      <c r="AL217">
        <f t="shared" si="30"/>
        <v>0</v>
      </c>
      <c r="AM217">
        <f t="shared" si="31"/>
        <v>0</v>
      </c>
      <c r="AN217" t="str">
        <f t="shared" si="32"/>
        <v/>
      </c>
      <c r="AO217">
        <f t="shared" si="33"/>
        <v>3</v>
      </c>
      <c r="AP217">
        <f t="shared" si="34"/>
        <v>1</v>
      </c>
      <c r="AQ217">
        <f t="shared" si="35"/>
        <v>5</v>
      </c>
      <c r="AS217" s="90">
        <v>4161</v>
      </c>
      <c r="AT217" s="90" t="s">
        <v>627</v>
      </c>
    </row>
    <row r="218" spans="1:46" ht="21" customHeight="1" thickTop="1" thickBot="1">
      <c r="A218" s="148" t="s">
        <v>618</v>
      </c>
      <c r="B218" s="107" t="s">
        <v>621</v>
      </c>
      <c r="C218" s="149" t="s">
        <v>622</v>
      </c>
      <c r="D218" s="107">
        <v>3016730684</v>
      </c>
      <c r="E218" s="107">
        <v>2</v>
      </c>
      <c r="F218" s="150">
        <v>45292</v>
      </c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7" t="s">
        <v>94</v>
      </c>
      <c r="X218" s="107" t="s">
        <v>94</v>
      </c>
      <c r="Y218" s="106"/>
      <c r="Z218" s="107" t="s">
        <v>94</v>
      </c>
      <c r="AA218" s="106"/>
      <c r="AB218" s="106"/>
      <c r="AC218" s="106"/>
      <c r="AD218" s="107" t="s">
        <v>416</v>
      </c>
      <c r="AE218" s="106"/>
      <c r="AF218" s="106"/>
      <c r="AG218" s="151"/>
      <c r="AH218" s="6"/>
      <c r="AI218" s="7" t="s">
        <v>94</v>
      </c>
      <c r="AJ218" s="6"/>
      <c r="AL218">
        <f t="shared" si="30"/>
        <v>0</v>
      </c>
      <c r="AM218">
        <f t="shared" si="31"/>
        <v>0</v>
      </c>
      <c r="AN218" t="str">
        <f t="shared" si="32"/>
        <v/>
      </c>
      <c r="AO218">
        <f t="shared" si="33"/>
        <v>3</v>
      </c>
      <c r="AP218">
        <f t="shared" si="34"/>
        <v>1</v>
      </c>
      <c r="AQ218">
        <f t="shared" si="35"/>
        <v>5</v>
      </c>
      <c r="AS218" s="90">
        <v>4161</v>
      </c>
      <c r="AT218" s="90" t="s">
        <v>627</v>
      </c>
    </row>
    <row r="219" spans="1:46" ht="21" customHeight="1" thickTop="1" thickBot="1">
      <c r="A219" s="148" t="s">
        <v>618</v>
      </c>
      <c r="B219" s="107" t="s">
        <v>623</v>
      </c>
      <c r="C219" s="149" t="s">
        <v>624</v>
      </c>
      <c r="D219" s="107">
        <v>3024653947</v>
      </c>
      <c r="E219" s="107">
        <v>6</v>
      </c>
      <c r="F219" s="150">
        <v>44105</v>
      </c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7" t="s">
        <v>94</v>
      </c>
      <c r="Z219" s="107" t="s">
        <v>94</v>
      </c>
      <c r="AA219" s="107" t="s">
        <v>94</v>
      </c>
      <c r="AB219" s="106"/>
      <c r="AC219" s="106"/>
      <c r="AD219" s="107" t="s">
        <v>416</v>
      </c>
      <c r="AE219" s="106"/>
      <c r="AF219" s="106"/>
      <c r="AG219" s="151"/>
      <c r="AH219" s="7" t="s">
        <v>94</v>
      </c>
      <c r="AI219" s="6"/>
      <c r="AJ219" s="6"/>
      <c r="AL219">
        <f t="shared" si="30"/>
        <v>0</v>
      </c>
      <c r="AM219">
        <f t="shared" si="31"/>
        <v>0</v>
      </c>
      <c r="AN219" t="str">
        <f t="shared" si="32"/>
        <v/>
      </c>
      <c r="AO219">
        <f t="shared" si="33"/>
        <v>3</v>
      </c>
      <c r="AP219">
        <f t="shared" si="34"/>
        <v>1</v>
      </c>
      <c r="AQ219">
        <f t="shared" si="35"/>
        <v>4</v>
      </c>
      <c r="AS219" s="90">
        <v>4161</v>
      </c>
      <c r="AT219" s="90" t="s">
        <v>627</v>
      </c>
    </row>
    <row r="220" spans="1:46" ht="21" customHeight="1" thickTop="1" thickBot="1">
      <c r="A220" s="148" t="s">
        <v>618</v>
      </c>
      <c r="B220" s="107" t="s">
        <v>625</v>
      </c>
      <c r="C220" s="149" t="s">
        <v>626</v>
      </c>
      <c r="D220" s="107">
        <v>3159277013</v>
      </c>
      <c r="E220" s="107">
        <v>6</v>
      </c>
      <c r="F220" s="150">
        <v>43831</v>
      </c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7" t="s">
        <v>94</v>
      </c>
      <c r="W220" s="106"/>
      <c r="X220" s="106"/>
      <c r="Y220" s="106"/>
      <c r="Z220" s="106"/>
      <c r="AA220" s="107" t="s">
        <v>94</v>
      </c>
      <c r="AB220" s="106"/>
      <c r="AC220" s="106"/>
      <c r="AD220" s="107" t="s">
        <v>416</v>
      </c>
      <c r="AE220" s="106"/>
      <c r="AF220" s="106"/>
      <c r="AG220" s="151"/>
      <c r="AH220" s="7" t="s">
        <v>94</v>
      </c>
      <c r="AI220" s="6"/>
      <c r="AJ220" s="6"/>
      <c r="AL220">
        <f t="shared" si="30"/>
        <v>0</v>
      </c>
      <c r="AM220">
        <f t="shared" si="31"/>
        <v>0</v>
      </c>
      <c r="AN220" t="str">
        <f t="shared" si="32"/>
        <v/>
      </c>
      <c r="AO220">
        <f t="shared" si="33"/>
        <v>2</v>
      </c>
      <c r="AP220">
        <f t="shared" si="34"/>
        <v>1</v>
      </c>
      <c r="AQ220">
        <f t="shared" si="35"/>
        <v>4</v>
      </c>
      <c r="AS220" s="90">
        <v>4161</v>
      </c>
      <c r="AT220" s="90" t="s">
        <v>627</v>
      </c>
    </row>
    <row r="221" spans="1:46" ht="21" customHeight="1" thickTop="1" thickBot="1">
      <c r="A221" s="152" t="s">
        <v>628</v>
      </c>
      <c r="B221" s="153" t="s">
        <v>629</v>
      </c>
      <c r="C221" s="154" t="s">
        <v>630</v>
      </c>
      <c r="D221" s="155">
        <v>3226090091</v>
      </c>
      <c r="E221" s="155">
        <v>8</v>
      </c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153" t="s">
        <v>38</v>
      </c>
      <c r="V221" s="153" t="s">
        <v>38</v>
      </c>
      <c r="W221" s="38"/>
      <c r="X221" s="38"/>
      <c r="Y221" s="38"/>
      <c r="Z221" s="38"/>
      <c r="AA221" s="153" t="s">
        <v>38</v>
      </c>
      <c r="AB221" s="38"/>
      <c r="AC221" s="153" t="s">
        <v>38</v>
      </c>
      <c r="AD221" s="153" t="s">
        <v>65</v>
      </c>
      <c r="AE221" s="38"/>
      <c r="AF221" s="38"/>
      <c r="AG221" s="38"/>
      <c r="AH221" s="38"/>
      <c r="AI221" s="153" t="s">
        <v>38</v>
      </c>
      <c r="AJ221" s="38"/>
      <c r="AL221">
        <f t="shared" si="30"/>
        <v>0</v>
      </c>
      <c r="AM221">
        <f t="shared" si="31"/>
        <v>4</v>
      </c>
      <c r="AN221">
        <f t="shared" si="32"/>
        <v>5</v>
      </c>
      <c r="AO221">
        <f t="shared" si="33"/>
        <v>3</v>
      </c>
      <c r="AP221">
        <f t="shared" si="34"/>
        <v>1</v>
      </c>
      <c r="AQ221">
        <f t="shared" si="35"/>
        <v>5</v>
      </c>
      <c r="AS221" s="90">
        <v>4145</v>
      </c>
      <c r="AT221" s="90" t="s">
        <v>667</v>
      </c>
    </row>
    <row r="222" spans="1:46" ht="21" customHeight="1" thickBot="1">
      <c r="A222" s="51" t="s">
        <v>628</v>
      </c>
      <c r="B222" s="47" t="s">
        <v>631</v>
      </c>
      <c r="C222" s="67" t="s">
        <v>632</v>
      </c>
      <c r="D222" s="53">
        <v>3134852276</v>
      </c>
      <c r="E222" s="53">
        <v>11</v>
      </c>
      <c r="F222" s="80">
        <v>45748</v>
      </c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7" t="s">
        <v>38</v>
      </c>
      <c r="V222" s="47" t="s">
        <v>38</v>
      </c>
      <c r="W222" s="44"/>
      <c r="X222" s="44"/>
      <c r="Y222" s="44"/>
      <c r="Z222" s="44"/>
      <c r="AA222" s="47" t="s">
        <v>38</v>
      </c>
      <c r="AB222" s="44"/>
      <c r="AC222" s="47" t="s">
        <v>38</v>
      </c>
      <c r="AD222" s="47" t="s">
        <v>65</v>
      </c>
      <c r="AE222" s="44"/>
      <c r="AF222" s="44"/>
      <c r="AG222" s="44"/>
      <c r="AH222" s="44"/>
      <c r="AI222" s="47" t="s">
        <v>38</v>
      </c>
      <c r="AJ222" s="44"/>
      <c r="AL222">
        <f t="shared" si="30"/>
        <v>0</v>
      </c>
      <c r="AM222">
        <f t="shared" si="31"/>
        <v>4</v>
      </c>
      <c r="AN222">
        <f t="shared" si="32"/>
        <v>5</v>
      </c>
      <c r="AO222">
        <f t="shared" si="33"/>
        <v>3</v>
      </c>
      <c r="AP222">
        <f t="shared" si="34"/>
        <v>1</v>
      </c>
      <c r="AQ222">
        <f t="shared" si="35"/>
        <v>5</v>
      </c>
      <c r="AS222" s="90">
        <v>4145</v>
      </c>
      <c r="AT222" s="90" t="s">
        <v>667</v>
      </c>
    </row>
    <row r="223" spans="1:46" ht="21" customHeight="1" thickBot="1">
      <c r="A223" s="51" t="s">
        <v>628</v>
      </c>
      <c r="B223" s="47" t="s">
        <v>633</v>
      </c>
      <c r="C223" s="71" t="s">
        <v>634</v>
      </c>
      <c r="D223" s="53">
        <v>3102532767</v>
      </c>
      <c r="E223" s="53">
        <v>5</v>
      </c>
      <c r="F223" s="80">
        <v>45748</v>
      </c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7" t="s">
        <v>38</v>
      </c>
      <c r="U223" s="44"/>
      <c r="V223" s="44"/>
      <c r="W223" s="44"/>
      <c r="X223" s="44"/>
      <c r="Y223" s="44"/>
      <c r="Z223" s="47" t="s">
        <v>38</v>
      </c>
      <c r="AA223" s="47" t="s">
        <v>38</v>
      </c>
      <c r="AB223" s="44"/>
      <c r="AC223" s="44"/>
      <c r="AD223" s="47" t="s">
        <v>65</v>
      </c>
      <c r="AE223" s="44"/>
      <c r="AF223" s="44"/>
      <c r="AG223" s="47" t="s">
        <v>38</v>
      </c>
      <c r="AH223" s="44"/>
      <c r="AI223" s="44"/>
      <c r="AJ223" s="44"/>
      <c r="AL223">
        <f t="shared" si="30"/>
        <v>0</v>
      </c>
      <c r="AM223">
        <f t="shared" si="31"/>
        <v>3</v>
      </c>
      <c r="AN223">
        <f t="shared" si="32"/>
        <v>4</v>
      </c>
      <c r="AO223">
        <f t="shared" si="33"/>
        <v>2</v>
      </c>
      <c r="AP223">
        <f t="shared" si="34"/>
        <v>1</v>
      </c>
      <c r="AQ223">
        <f t="shared" si="35"/>
        <v>3</v>
      </c>
      <c r="AS223" s="90">
        <v>4145</v>
      </c>
      <c r="AT223" s="90" t="s">
        <v>667</v>
      </c>
    </row>
    <row r="224" spans="1:46" ht="21" customHeight="1" thickBot="1">
      <c r="A224" s="51" t="s">
        <v>628</v>
      </c>
      <c r="B224" s="47" t="s">
        <v>635</v>
      </c>
      <c r="C224" s="71" t="s">
        <v>636</v>
      </c>
      <c r="D224" s="53">
        <v>3057999711</v>
      </c>
      <c r="E224" s="53">
        <v>5</v>
      </c>
      <c r="F224" s="80">
        <v>44228</v>
      </c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7" t="s">
        <v>38</v>
      </c>
      <c r="V224" s="44"/>
      <c r="W224" s="44"/>
      <c r="X224" s="44"/>
      <c r="Y224" s="44"/>
      <c r="Z224" s="47" t="s">
        <v>38</v>
      </c>
      <c r="AA224" s="47" t="s">
        <v>38</v>
      </c>
      <c r="AB224" s="47" t="s">
        <v>38</v>
      </c>
      <c r="AC224" s="44"/>
      <c r="AD224" s="47" t="s">
        <v>65</v>
      </c>
      <c r="AE224" s="44"/>
      <c r="AF224" s="44"/>
      <c r="AG224" s="44"/>
      <c r="AH224" s="44"/>
      <c r="AI224" s="47" t="s">
        <v>38</v>
      </c>
      <c r="AJ224" s="44"/>
      <c r="AL224">
        <f t="shared" ref="AL224:AL287" si="36">IFERROR(CHOOSE(MATCH("X",G224:Q224,0),1,2,3,4,4,4,4,4,4,4,5,6),0)</f>
        <v>0</v>
      </c>
      <c r="AM224">
        <f t="shared" ref="AM224:AM287" si="37">IFERROR(MATCH("X",R224:U224,0),0)</f>
        <v>4</v>
      </c>
      <c r="AN224">
        <f t="shared" ref="AN224:AN287" si="38">IF(AL224&gt;0,1,IF(AM224&gt;0,AM224+1,""))</f>
        <v>5</v>
      </c>
      <c r="AO224">
        <f t="shared" ref="AO224:AO287" si="39">COUNTIF(V224:AC224,"X")</f>
        <v>3</v>
      </c>
      <c r="AP224">
        <f t="shared" ref="AP224:AP287" si="40">IF(AD224="SI",1,0)</f>
        <v>1</v>
      </c>
      <c r="AQ224">
        <f t="shared" ref="AQ224:AQ287" si="41">IFERROR(MATCH("X",AE224:AJ224,0),0)</f>
        <v>5</v>
      </c>
      <c r="AS224" s="90">
        <v>4145</v>
      </c>
      <c r="AT224" s="90" t="s">
        <v>667</v>
      </c>
    </row>
    <row r="225" spans="1:46" ht="21" customHeight="1" thickBot="1">
      <c r="A225" s="51" t="s">
        <v>628</v>
      </c>
      <c r="B225" s="47" t="s">
        <v>637</v>
      </c>
      <c r="C225" s="67" t="s">
        <v>638</v>
      </c>
      <c r="D225" s="53">
        <v>3226534379</v>
      </c>
      <c r="E225" s="53">
        <v>10</v>
      </c>
      <c r="F225" s="80">
        <v>44256</v>
      </c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7" t="s">
        <v>38</v>
      </c>
      <c r="V225" s="44"/>
      <c r="W225" s="44"/>
      <c r="X225" s="44"/>
      <c r="Y225" s="44"/>
      <c r="Z225" s="44"/>
      <c r="AA225" s="47" t="s">
        <v>38</v>
      </c>
      <c r="AB225" s="47" t="s">
        <v>38</v>
      </c>
      <c r="AC225" s="44"/>
      <c r="AD225" s="47" t="s">
        <v>65</v>
      </c>
      <c r="AE225" s="44"/>
      <c r="AF225" s="44"/>
      <c r="AG225" s="44"/>
      <c r="AH225" s="44"/>
      <c r="AI225" s="47" t="s">
        <v>38</v>
      </c>
      <c r="AJ225" s="44"/>
      <c r="AL225">
        <f t="shared" si="36"/>
        <v>0</v>
      </c>
      <c r="AM225">
        <f t="shared" si="37"/>
        <v>4</v>
      </c>
      <c r="AN225">
        <f t="shared" si="38"/>
        <v>5</v>
      </c>
      <c r="AO225">
        <f t="shared" si="39"/>
        <v>2</v>
      </c>
      <c r="AP225">
        <f t="shared" si="40"/>
        <v>1</v>
      </c>
      <c r="AQ225">
        <f t="shared" si="41"/>
        <v>5</v>
      </c>
      <c r="AS225" s="90">
        <v>4145</v>
      </c>
      <c r="AT225" s="90" t="s">
        <v>667</v>
      </c>
    </row>
    <row r="226" spans="1:46" ht="21" customHeight="1" thickBot="1">
      <c r="A226" s="51" t="s">
        <v>639</v>
      </c>
      <c r="B226" s="47" t="s">
        <v>640</v>
      </c>
      <c r="C226" s="71" t="s">
        <v>641</v>
      </c>
      <c r="D226" s="53">
        <v>3213795488</v>
      </c>
      <c r="E226" s="53" t="s">
        <v>642</v>
      </c>
      <c r="F226" s="80">
        <v>44378</v>
      </c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7" t="s">
        <v>38</v>
      </c>
      <c r="U226" s="44"/>
      <c r="V226" s="44"/>
      <c r="W226" s="44"/>
      <c r="X226" s="44"/>
      <c r="Y226" s="44"/>
      <c r="Z226" s="47" t="s">
        <v>38</v>
      </c>
      <c r="AA226" s="47" t="s">
        <v>38</v>
      </c>
      <c r="AB226" s="47" t="s">
        <v>38</v>
      </c>
      <c r="AC226" s="44"/>
      <c r="AD226" s="47" t="s">
        <v>65</v>
      </c>
      <c r="AE226" s="44"/>
      <c r="AF226" s="44"/>
      <c r="AG226" s="44"/>
      <c r="AH226" s="47" t="s">
        <v>38</v>
      </c>
      <c r="AI226" s="44"/>
      <c r="AJ226" s="44"/>
      <c r="AL226">
        <f t="shared" si="36"/>
        <v>0</v>
      </c>
      <c r="AM226">
        <f t="shared" si="37"/>
        <v>3</v>
      </c>
      <c r="AN226">
        <f t="shared" si="38"/>
        <v>4</v>
      </c>
      <c r="AO226">
        <f t="shared" si="39"/>
        <v>3</v>
      </c>
      <c r="AP226">
        <f t="shared" si="40"/>
        <v>1</v>
      </c>
      <c r="AQ226">
        <f t="shared" si="41"/>
        <v>4</v>
      </c>
      <c r="AS226" s="90">
        <v>4145</v>
      </c>
      <c r="AT226" s="90" t="s">
        <v>667</v>
      </c>
    </row>
    <row r="227" spans="1:46" ht="21" customHeight="1" thickBot="1">
      <c r="A227" s="51" t="s">
        <v>628</v>
      </c>
      <c r="B227" s="47" t="s">
        <v>643</v>
      </c>
      <c r="C227" s="71" t="s">
        <v>644</v>
      </c>
      <c r="D227" s="53">
        <v>3127111708</v>
      </c>
      <c r="E227" s="53">
        <v>2</v>
      </c>
      <c r="F227" s="80">
        <v>45839</v>
      </c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7" t="s">
        <v>38</v>
      </c>
      <c r="T227" s="44"/>
      <c r="U227" s="44"/>
      <c r="V227" s="44"/>
      <c r="W227" s="44"/>
      <c r="X227" s="44"/>
      <c r="Y227" s="44"/>
      <c r="Z227" s="47" t="s">
        <v>38</v>
      </c>
      <c r="AA227" s="47" t="s">
        <v>38</v>
      </c>
      <c r="AB227" s="47" t="s">
        <v>38</v>
      </c>
      <c r="AC227" s="44"/>
      <c r="AD227" s="47" t="s">
        <v>65</v>
      </c>
      <c r="AE227" s="44"/>
      <c r="AF227" s="44"/>
      <c r="AG227" s="47" t="s">
        <v>38</v>
      </c>
      <c r="AH227" s="44"/>
      <c r="AI227" s="44"/>
      <c r="AJ227" s="44"/>
      <c r="AL227">
        <f t="shared" si="36"/>
        <v>0</v>
      </c>
      <c r="AM227">
        <f t="shared" si="37"/>
        <v>2</v>
      </c>
      <c r="AN227">
        <f t="shared" si="38"/>
        <v>3</v>
      </c>
      <c r="AO227">
        <f t="shared" si="39"/>
        <v>3</v>
      </c>
      <c r="AP227">
        <f t="shared" si="40"/>
        <v>1</v>
      </c>
      <c r="AQ227">
        <f t="shared" si="41"/>
        <v>3</v>
      </c>
      <c r="AS227" s="90">
        <v>4145</v>
      </c>
      <c r="AT227" s="90" t="s">
        <v>667</v>
      </c>
    </row>
    <row r="228" spans="1:46" ht="21" customHeight="1" thickBot="1">
      <c r="A228" s="51" t="s">
        <v>645</v>
      </c>
      <c r="B228" s="47" t="s">
        <v>646</v>
      </c>
      <c r="C228" s="52" t="s">
        <v>647</v>
      </c>
      <c r="D228" s="53">
        <v>3175701564</v>
      </c>
      <c r="E228" s="53">
        <v>8</v>
      </c>
      <c r="F228" s="80">
        <v>45505</v>
      </c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7" t="s">
        <v>38</v>
      </c>
      <c r="V228" s="44"/>
      <c r="W228" s="44"/>
      <c r="X228" s="44"/>
      <c r="Y228" s="47" t="s">
        <v>38</v>
      </c>
      <c r="Z228" s="47" t="s">
        <v>38</v>
      </c>
      <c r="AA228" s="47" t="s">
        <v>38</v>
      </c>
      <c r="AB228" s="47" t="s">
        <v>38</v>
      </c>
      <c r="AC228" s="47" t="s">
        <v>38</v>
      </c>
      <c r="AD228" s="47" t="s">
        <v>65</v>
      </c>
      <c r="AE228" s="44"/>
      <c r="AF228" s="44"/>
      <c r="AG228" s="44"/>
      <c r="AH228" s="44"/>
      <c r="AI228" s="47" t="s">
        <v>38</v>
      </c>
      <c r="AJ228" s="44"/>
      <c r="AL228">
        <f t="shared" si="36"/>
        <v>0</v>
      </c>
      <c r="AM228">
        <f t="shared" si="37"/>
        <v>4</v>
      </c>
      <c r="AN228">
        <f t="shared" si="38"/>
        <v>5</v>
      </c>
      <c r="AO228">
        <f t="shared" si="39"/>
        <v>5</v>
      </c>
      <c r="AP228">
        <f t="shared" si="40"/>
        <v>1</v>
      </c>
      <c r="AQ228">
        <f t="shared" si="41"/>
        <v>5</v>
      </c>
      <c r="AS228" s="90">
        <v>4145</v>
      </c>
      <c r="AT228" s="90" t="s">
        <v>667</v>
      </c>
    </row>
    <row r="229" spans="1:46" ht="21" customHeight="1" thickBot="1">
      <c r="A229" s="51" t="s">
        <v>336</v>
      </c>
      <c r="B229" s="47" t="s">
        <v>337</v>
      </c>
      <c r="C229" s="52" t="s">
        <v>338</v>
      </c>
      <c r="D229" s="53">
        <v>3182268407</v>
      </c>
      <c r="E229" s="53">
        <v>4</v>
      </c>
      <c r="F229" s="80">
        <v>45717</v>
      </c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7" t="s">
        <v>94</v>
      </c>
      <c r="U229" s="44"/>
      <c r="V229" s="47" t="s">
        <v>94</v>
      </c>
      <c r="W229" s="47" t="s">
        <v>94</v>
      </c>
      <c r="X229" s="47" t="s">
        <v>94</v>
      </c>
      <c r="Y229" s="47" t="s">
        <v>94</v>
      </c>
      <c r="Z229" s="47" t="s">
        <v>94</v>
      </c>
      <c r="AA229" s="47" t="s">
        <v>94</v>
      </c>
      <c r="AB229" s="47" t="s">
        <v>94</v>
      </c>
      <c r="AC229" s="47" t="s">
        <v>94</v>
      </c>
      <c r="AD229" s="47" t="s">
        <v>65</v>
      </c>
      <c r="AE229" s="44"/>
      <c r="AF229" s="44"/>
      <c r="AG229" s="44"/>
      <c r="AH229" s="44"/>
      <c r="AI229" s="47" t="s">
        <v>94</v>
      </c>
      <c r="AJ229" s="44"/>
      <c r="AL229">
        <f t="shared" si="36"/>
        <v>0</v>
      </c>
      <c r="AM229">
        <f t="shared" si="37"/>
        <v>3</v>
      </c>
      <c r="AN229">
        <f t="shared" si="38"/>
        <v>4</v>
      </c>
      <c r="AO229">
        <f t="shared" si="39"/>
        <v>8</v>
      </c>
      <c r="AP229">
        <f t="shared" si="40"/>
        <v>1</v>
      </c>
      <c r="AQ229">
        <f t="shared" si="41"/>
        <v>5</v>
      </c>
      <c r="AS229" s="90">
        <v>4145</v>
      </c>
      <c r="AT229" s="90" t="s">
        <v>667</v>
      </c>
    </row>
    <row r="230" spans="1:46" ht="21" customHeight="1" thickBot="1">
      <c r="A230" s="51" t="s">
        <v>648</v>
      </c>
      <c r="B230" s="47" t="s">
        <v>649</v>
      </c>
      <c r="C230" s="52" t="s">
        <v>650</v>
      </c>
      <c r="D230" s="53">
        <v>3041127809</v>
      </c>
      <c r="E230" s="53">
        <v>12</v>
      </c>
      <c r="F230" s="80">
        <v>45444</v>
      </c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7" t="s">
        <v>94</v>
      </c>
      <c r="S230" s="44"/>
      <c r="T230" s="44"/>
      <c r="U230" s="44"/>
      <c r="V230" s="47" t="s">
        <v>94</v>
      </c>
      <c r="W230" s="47" t="s">
        <v>94</v>
      </c>
      <c r="X230" s="47" t="s">
        <v>94</v>
      </c>
      <c r="Y230" s="47" t="s">
        <v>94</v>
      </c>
      <c r="Z230" s="47" t="s">
        <v>94</v>
      </c>
      <c r="AA230" s="47" t="s">
        <v>94</v>
      </c>
      <c r="AB230" s="47" t="s">
        <v>94</v>
      </c>
      <c r="AC230" s="47" t="s">
        <v>94</v>
      </c>
      <c r="AD230" s="47" t="s">
        <v>65</v>
      </c>
      <c r="AE230" s="47" t="s">
        <v>94</v>
      </c>
      <c r="AF230" s="44"/>
      <c r="AG230" s="44"/>
      <c r="AH230" s="44"/>
      <c r="AI230" s="44"/>
      <c r="AJ230" s="44"/>
      <c r="AL230">
        <f t="shared" si="36"/>
        <v>0</v>
      </c>
      <c r="AM230">
        <f t="shared" si="37"/>
        <v>1</v>
      </c>
      <c r="AN230">
        <f t="shared" si="38"/>
        <v>2</v>
      </c>
      <c r="AO230">
        <f t="shared" si="39"/>
        <v>8</v>
      </c>
      <c r="AP230">
        <f t="shared" si="40"/>
        <v>1</v>
      </c>
      <c r="AQ230">
        <f t="shared" si="41"/>
        <v>1</v>
      </c>
      <c r="AS230" s="90">
        <v>4145</v>
      </c>
      <c r="AT230" s="90" t="s">
        <v>667</v>
      </c>
    </row>
    <row r="231" spans="1:46" ht="21" customHeight="1" thickBot="1">
      <c r="A231" s="51" t="s">
        <v>648</v>
      </c>
      <c r="B231" s="47" t="s">
        <v>651</v>
      </c>
      <c r="C231" s="71" t="s">
        <v>652</v>
      </c>
      <c r="D231" s="53">
        <v>3167792580</v>
      </c>
      <c r="E231" s="53">
        <v>5</v>
      </c>
      <c r="F231" s="80">
        <v>45748</v>
      </c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7" t="s">
        <v>94</v>
      </c>
      <c r="S231" s="44"/>
      <c r="T231" s="44"/>
      <c r="U231" s="44"/>
      <c r="V231" s="47" t="s">
        <v>94</v>
      </c>
      <c r="W231" s="47" t="s">
        <v>94</v>
      </c>
      <c r="X231" s="47" t="s">
        <v>94</v>
      </c>
      <c r="Y231" s="47" t="s">
        <v>94</v>
      </c>
      <c r="Z231" s="47" t="s">
        <v>94</v>
      </c>
      <c r="AA231" s="47" t="s">
        <v>94</v>
      </c>
      <c r="AB231" s="47" t="s">
        <v>94</v>
      </c>
      <c r="AC231" s="47" t="s">
        <v>94</v>
      </c>
      <c r="AD231" s="47" t="s">
        <v>65</v>
      </c>
      <c r="AE231" s="44"/>
      <c r="AF231" s="47" t="s">
        <v>94</v>
      </c>
      <c r="AG231" s="44"/>
      <c r="AH231" s="44"/>
      <c r="AI231" s="44"/>
      <c r="AJ231" s="44"/>
      <c r="AL231">
        <f t="shared" si="36"/>
        <v>0</v>
      </c>
      <c r="AM231">
        <f t="shared" si="37"/>
        <v>1</v>
      </c>
      <c r="AN231">
        <f t="shared" si="38"/>
        <v>2</v>
      </c>
      <c r="AO231">
        <f t="shared" si="39"/>
        <v>8</v>
      </c>
      <c r="AP231">
        <f t="shared" si="40"/>
        <v>1</v>
      </c>
      <c r="AQ231">
        <f t="shared" si="41"/>
        <v>2</v>
      </c>
      <c r="AS231" s="90">
        <v>4145</v>
      </c>
      <c r="AT231" s="90" t="s">
        <v>667</v>
      </c>
    </row>
    <row r="232" spans="1:46" ht="21" customHeight="1" thickBot="1">
      <c r="A232" s="51" t="s">
        <v>648</v>
      </c>
      <c r="B232" s="47" t="s">
        <v>653</v>
      </c>
      <c r="C232" s="71" t="s">
        <v>654</v>
      </c>
      <c r="D232" s="53">
        <v>3005792174</v>
      </c>
      <c r="E232" s="53">
        <v>19</v>
      </c>
      <c r="F232" s="80">
        <v>39387</v>
      </c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7" t="s">
        <v>94</v>
      </c>
      <c r="S232" s="44"/>
      <c r="T232" s="44"/>
      <c r="U232" s="44"/>
      <c r="V232" s="47" t="s">
        <v>94</v>
      </c>
      <c r="W232" s="47" t="s">
        <v>94</v>
      </c>
      <c r="X232" s="47" t="s">
        <v>94</v>
      </c>
      <c r="Y232" s="47" t="s">
        <v>94</v>
      </c>
      <c r="Z232" s="47" t="s">
        <v>94</v>
      </c>
      <c r="AA232" s="47" t="s">
        <v>94</v>
      </c>
      <c r="AB232" s="47" t="s">
        <v>94</v>
      </c>
      <c r="AC232" s="47" t="s">
        <v>94</v>
      </c>
      <c r="AD232" s="47" t="s">
        <v>65</v>
      </c>
      <c r="AE232" s="44"/>
      <c r="AF232" s="44"/>
      <c r="AG232" s="44"/>
      <c r="AH232" s="47" t="s">
        <v>94</v>
      </c>
      <c r="AI232" s="44"/>
      <c r="AJ232" s="44"/>
      <c r="AL232">
        <f t="shared" si="36"/>
        <v>0</v>
      </c>
      <c r="AM232">
        <f t="shared" si="37"/>
        <v>1</v>
      </c>
      <c r="AN232">
        <f t="shared" si="38"/>
        <v>2</v>
      </c>
      <c r="AO232">
        <f t="shared" si="39"/>
        <v>8</v>
      </c>
      <c r="AP232">
        <f t="shared" si="40"/>
        <v>1</v>
      </c>
      <c r="AQ232">
        <f t="shared" si="41"/>
        <v>4</v>
      </c>
      <c r="AS232" s="90">
        <v>4145</v>
      </c>
      <c r="AT232" s="90" t="s">
        <v>667</v>
      </c>
    </row>
    <row r="233" spans="1:46" ht="21" customHeight="1" thickBot="1">
      <c r="A233" s="51" t="s">
        <v>648</v>
      </c>
      <c r="B233" s="47" t="s">
        <v>655</v>
      </c>
      <c r="C233" s="71" t="s">
        <v>656</v>
      </c>
      <c r="D233" s="53">
        <v>3102783002</v>
      </c>
      <c r="E233" s="53">
        <v>15</v>
      </c>
      <c r="F233" s="80">
        <v>45717</v>
      </c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7" t="s">
        <v>94</v>
      </c>
      <c r="S233" s="44"/>
      <c r="T233" s="44"/>
      <c r="U233" s="44"/>
      <c r="V233" s="47" t="s">
        <v>94</v>
      </c>
      <c r="W233" s="47" t="s">
        <v>94</v>
      </c>
      <c r="X233" s="47" t="s">
        <v>94</v>
      </c>
      <c r="Y233" s="47" t="s">
        <v>94</v>
      </c>
      <c r="Z233" s="47" t="s">
        <v>94</v>
      </c>
      <c r="AA233" s="47" t="s">
        <v>94</v>
      </c>
      <c r="AB233" s="47" t="s">
        <v>94</v>
      </c>
      <c r="AC233" s="47" t="s">
        <v>94</v>
      </c>
      <c r="AD233" s="47" t="s">
        <v>65</v>
      </c>
      <c r="AE233" s="44"/>
      <c r="AF233" s="44"/>
      <c r="AG233" s="47" t="s">
        <v>94</v>
      </c>
      <c r="AH233" s="44"/>
      <c r="AI233" s="44"/>
      <c r="AJ233" s="44"/>
      <c r="AL233">
        <f t="shared" si="36"/>
        <v>0</v>
      </c>
      <c r="AM233">
        <f t="shared" si="37"/>
        <v>1</v>
      </c>
      <c r="AN233">
        <f t="shared" si="38"/>
        <v>2</v>
      </c>
      <c r="AO233">
        <f t="shared" si="39"/>
        <v>8</v>
      </c>
      <c r="AP233">
        <f t="shared" si="40"/>
        <v>1</v>
      </c>
      <c r="AQ233">
        <f t="shared" si="41"/>
        <v>3</v>
      </c>
      <c r="AS233" s="90">
        <v>4145</v>
      </c>
      <c r="AT233" s="90" t="s">
        <v>667</v>
      </c>
    </row>
    <row r="234" spans="1:46" ht="21" customHeight="1" thickBot="1">
      <c r="A234" s="51" t="s">
        <v>657</v>
      </c>
      <c r="B234" s="47" t="s">
        <v>658</v>
      </c>
      <c r="C234" s="52" t="s">
        <v>659</v>
      </c>
      <c r="D234" s="53">
        <v>3172603503</v>
      </c>
      <c r="E234" s="53">
        <v>12</v>
      </c>
      <c r="F234" s="80">
        <v>45474</v>
      </c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7" t="s">
        <v>94</v>
      </c>
      <c r="U234" s="44"/>
      <c r="V234" s="47" t="s">
        <v>94</v>
      </c>
      <c r="W234" s="47" t="s">
        <v>94</v>
      </c>
      <c r="X234" s="47" t="s">
        <v>94</v>
      </c>
      <c r="Y234" s="47" t="s">
        <v>94</v>
      </c>
      <c r="Z234" s="47" t="s">
        <v>94</v>
      </c>
      <c r="AA234" s="47" t="s">
        <v>94</v>
      </c>
      <c r="AB234" s="44"/>
      <c r="AC234" s="47" t="s">
        <v>94</v>
      </c>
      <c r="AD234" s="47" t="s">
        <v>39</v>
      </c>
      <c r="AE234" s="44"/>
      <c r="AF234" s="44"/>
      <c r="AG234" s="44"/>
      <c r="AH234" s="44"/>
      <c r="AI234" s="47" t="s">
        <v>38</v>
      </c>
      <c r="AJ234" s="44"/>
      <c r="AL234">
        <f t="shared" si="36"/>
        <v>0</v>
      </c>
      <c r="AM234">
        <f t="shared" si="37"/>
        <v>3</v>
      </c>
      <c r="AN234">
        <f t="shared" si="38"/>
        <v>4</v>
      </c>
      <c r="AO234">
        <f t="shared" si="39"/>
        <v>7</v>
      </c>
      <c r="AP234">
        <f t="shared" si="40"/>
        <v>0</v>
      </c>
      <c r="AQ234">
        <f t="shared" si="41"/>
        <v>5</v>
      </c>
      <c r="AS234" s="90">
        <v>4145</v>
      </c>
      <c r="AT234" s="90" t="s">
        <v>667</v>
      </c>
    </row>
    <row r="235" spans="1:46" ht="21" customHeight="1" thickBot="1">
      <c r="A235" s="51" t="s">
        <v>657</v>
      </c>
      <c r="B235" s="47" t="s">
        <v>660</v>
      </c>
      <c r="C235" s="71" t="s">
        <v>661</v>
      </c>
      <c r="D235" s="53">
        <v>3177046455</v>
      </c>
      <c r="E235" s="53">
        <v>7</v>
      </c>
      <c r="F235" s="80">
        <v>45292</v>
      </c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7" t="s">
        <v>94</v>
      </c>
      <c r="U235" s="44"/>
      <c r="V235" s="47" t="s">
        <v>94</v>
      </c>
      <c r="W235" s="47" t="s">
        <v>94</v>
      </c>
      <c r="X235" s="47" t="s">
        <v>94</v>
      </c>
      <c r="Y235" s="47" t="s">
        <v>94</v>
      </c>
      <c r="Z235" s="47" t="s">
        <v>94</v>
      </c>
      <c r="AA235" s="47" t="s">
        <v>94</v>
      </c>
      <c r="AB235" s="44"/>
      <c r="AC235" s="47" t="s">
        <v>94</v>
      </c>
      <c r="AD235" s="47" t="s">
        <v>39</v>
      </c>
      <c r="AE235" s="44"/>
      <c r="AF235" s="44"/>
      <c r="AG235" s="44"/>
      <c r="AH235" s="44"/>
      <c r="AI235" s="47" t="s">
        <v>38</v>
      </c>
      <c r="AJ235" s="44"/>
      <c r="AL235">
        <f t="shared" si="36"/>
        <v>0</v>
      </c>
      <c r="AM235">
        <f t="shared" si="37"/>
        <v>3</v>
      </c>
      <c r="AN235">
        <f t="shared" si="38"/>
        <v>4</v>
      </c>
      <c r="AO235">
        <f t="shared" si="39"/>
        <v>7</v>
      </c>
      <c r="AP235">
        <f t="shared" si="40"/>
        <v>0</v>
      </c>
      <c r="AQ235">
        <f t="shared" si="41"/>
        <v>5</v>
      </c>
      <c r="AS235" s="90">
        <v>4145</v>
      </c>
      <c r="AT235" s="90" t="s">
        <v>667</v>
      </c>
    </row>
    <row r="236" spans="1:46" ht="21" customHeight="1" thickBot="1">
      <c r="A236" s="51" t="s">
        <v>662</v>
      </c>
      <c r="B236" s="47" t="s">
        <v>663</v>
      </c>
      <c r="C236" s="67" t="s">
        <v>664</v>
      </c>
      <c r="D236" s="53">
        <v>3218328162</v>
      </c>
      <c r="E236" s="53">
        <v>20</v>
      </c>
      <c r="F236" s="80">
        <v>43891</v>
      </c>
      <c r="G236" s="44"/>
      <c r="H236" s="44"/>
      <c r="I236" s="44"/>
      <c r="J236" s="44"/>
      <c r="K236" s="47" t="s">
        <v>94</v>
      </c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7" t="s">
        <v>39</v>
      </c>
      <c r="AE236" s="44"/>
      <c r="AF236" s="44"/>
      <c r="AG236" s="47" t="s">
        <v>38</v>
      </c>
      <c r="AH236" s="44"/>
      <c r="AI236" s="44"/>
      <c r="AJ236" s="44"/>
      <c r="AL236">
        <f t="shared" si="36"/>
        <v>4</v>
      </c>
      <c r="AM236">
        <f t="shared" si="37"/>
        <v>0</v>
      </c>
      <c r="AN236">
        <f t="shared" si="38"/>
        <v>1</v>
      </c>
      <c r="AO236">
        <f t="shared" si="39"/>
        <v>0</v>
      </c>
      <c r="AP236">
        <f t="shared" si="40"/>
        <v>0</v>
      </c>
      <c r="AQ236">
        <f t="shared" si="41"/>
        <v>3</v>
      </c>
      <c r="AS236" s="90">
        <v>4145</v>
      </c>
      <c r="AT236" s="90" t="s">
        <v>667</v>
      </c>
    </row>
    <row r="237" spans="1:46" ht="21" customHeight="1" thickBot="1">
      <c r="A237" s="51" t="s">
        <v>662</v>
      </c>
      <c r="B237" s="47" t="s">
        <v>665</v>
      </c>
      <c r="C237" s="67" t="s">
        <v>666</v>
      </c>
      <c r="D237" s="53">
        <v>3177808760</v>
      </c>
      <c r="E237" s="53">
        <v>12</v>
      </c>
      <c r="F237" s="80">
        <v>41395</v>
      </c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7" t="s">
        <v>94</v>
      </c>
      <c r="U237" s="44"/>
      <c r="V237" s="44"/>
      <c r="W237" s="44"/>
      <c r="X237" s="44"/>
      <c r="Y237" s="44"/>
      <c r="Z237" s="44"/>
      <c r="AA237" s="44"/>
      <c r="AB237" s="44"/>
      <c r="AC237" s="44"/>
      <c r="AD237" s="47" t="s">
        <v>65</v>
      </c>
      <c r="AE237" s="44"/>
      <c r="AF237" s="44"/>
      <c r="AG237" s="47" t="s">
        <v>38</v>
      </c>
      <c r="AH237" s="44"/>
      <c r="AI237" s="44"/>
      <c r="AJ237" s="44"/>
      <c r="AL237">
        <f t="shared" si="36"/>
        <v>0</v>
      </c>
      <c r="AM237">
        <f t="shared" si="37"/>
        <v>3</v>
      </c>
      <c r="AN237">
        <f t="shared" si="38"/>
        <v>4</v>
      </c>
      <c r="AO237">
        <f t="shared" si="39"/>
        <v>0</v>
      </c>
      <c r="AP237">
        <f t="shared" si="40"/>
        <v>1</v>
      </c>
      <c r="AQ237">
        <f t="shared" si="41"/>
        <v>3</v>
      </c>
      <c r="AS237" s="90">
        <v>4145</v>
      </c>
      <c r="AT237" s="90" t="s">
        <v>667</v>
      </c>
    </row>
    <row r="238" spans="1:46" ht="21" customHeight="1" thickBot="1">
      <c r="A238" s="152" t="s">
        <v>668</v>
      </c>
      <c r="B238" s="23" t="s">
        <v>669</v>
      </c>
      <c r="C238" s="77" t="s">
        <v>670</v>
      </c>
      <c r="D238" s="25">
        <v>3017912555</v>
      </c>
      <c r="E238" s="25">
        <v>8</v>
      </c>
      <c r="F238" s="23" t="s">
        <v>404</v>
      </c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25" t="s">
        <v>38</v>
      </c>
      <c r="T238" s="38"/>
      <c r="U238" s="38"/>
      <c r="V238" s="25" t="s">
        <v>38</v>
      </c>
      <c r="W238" s="27"/>
      <c r="X238" s="27"/>
      <c r="Y238" s="25" t="s">
        <v>38</v>
      </c>
      <c r="Z238" s="38"/>
      <c r="AA238" s="38"/>
      <c r="AB238" s="38"/>
      <c r="AC238" s="38"/>
      <c r="AD238" s="25" t="s">
        <v>416</v>
      </c>
      <c r="AE238" s="32"/>
      <c r="AF238" s="25" t="s">
        <v>38</v>
      </c>
      <c r="AG238" s="38"/>
      <c r="AH238" s="38"/>
      <c r="AI238" s="38"/>
      <c r="AJ238" s="38"/>
      <c r="AL238">
        <f t="shared" si="36"/>
        <v>0</v>
      </c>
      <c r="AM238">
        <f t="shared" si="37"/>
        <v>2</v>
      </c>
      <c r="AN238">
        <f t="shared" si="38"/>
        <v>3</v>
      </c>
      <c r="AO238">
        <f t="shared" si="39"/>
        <v>2</v>
      </c>
      <c r="AP238">
        <f t="shared" si="40"/>
        <v>1</v>
      </c>
      <c r="AQ238">
        <f t="shared" si="41"/>
        <v>2</v>
      </c>
      <c r="AS238" s="90">
        <v>4172</v>
      </c>
      <c r="AT238" s="90" t="s">
        <v>692</v>
      </c>
    </row>
    <row r="239" spans="1:46" ht="21" customHeight="1" thickBot="1">
      <c r="A239" s="51" t="s">
        <v>668</v>
      </c>
      <c r="B239" s="4" t="s">
        <v>671</v>
      </c>
      <c r="C239" s="29" t="s">
        <v>672</v>
      </c>
      <c r="D239" s="7">
        <v>3017423633</v>
      </c>
      <c r="E239" s="7">
        <v>12</v>
      </c>
      <c r="F239" s="4" t="s">
        <v>387</v>
      </c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7" t="s">
        <v>38</v>
      </c>
      <c r="V239" s="44"/>
      <c r="W239" s="4" t="s">
        <v>38</v>
      </c>
      <c r="X239" s="4" t="s">
        <v>38</v>
      </c>
      <c r="Y239" s="6"/>
      <c r="Z239" s="4" t="s">
        <v>38</v>
      </c>
      <c r="AA239" s="4" t="s">
        <v>38</v>
      </c>
      <c r="AB239" s="6"/>
      <c r="AC239" s="4" t="s">
        <v>38</v>
      </c>
      <c r="AD239" s="7" t="s">
        <v>416</v>
      </c>
      <c r="AE239" s="8"/>
      <c r="AF239" s="44"/>
      <c r="AG239" s="44"/>
      <c r="AH239" s="7" t="s">
        <v>38</v>
      </c>
      <c r="AI239" s="44"/>
      <c r="AJ239" s="44"/>
      <c r="AL239">
        <f t="shared" si="36"/>
        <v>0</v>
      </c>
      <c r="AM239">
        <f t="shared" si="37"/>
        <v>4</v>
      </c>
      <c r="AN239">
        <f t="shared" si="38"/>
        <v>5</v>
      </c>
      <c r="AO239">
        <f t="shared" si="39"/>
        <v>5</v>
      </c>
      <c r="AP239">
        <f t="shared" si="40"/>
        <v>1</v>
      </c>
      <c r="AQ239">
        <f t="shared" si="41"/>
        <v>4</v>
      </c>
      <c r="AS239" s="90">
        <v>4172</v>
      </c>
      <c r="AT239" s="90" t="s">
        <v>692</v>
      </c>
    </row>
    <row r="240" spans="1:46" ht="21" customHeight="1" thickBot="1">
      <c r="A240" s="51" t="s">
        <v>668</v>
      </c>
      <c r="B240" s="4" t="s">
        <v>673</v>
      </c>
      <c r="C240" s="29" t="s">
        <v>674</v>
      </c>
      <c r="D240" s="7">
        <v>3185828021</v>
      </c>
      <c r="E240" s="7">
        <v>5</v>
      </c>
      <c r="F240" s="4" t="s">
        <v>675</v>
      </c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7" t="s">
        <v>38</v>
      </c>
      <c r="U240" s="6"/>
      <c r="V240" s="6"/>
      <c r="W240" s="6"/>
      <c r="X240" s="6"/>
      <c r="Y240" s="6"/>
      <c r="Z240" s="4" t="s">
        <v>38</v>
      </c>
      <c r="AA240" s="4" t="s">
        <v>38</v>
      </c>
      <c r="AB240" s="4" t="s">
        <v>38</v>
      </c>
      <c r="AC240" s="44"/>
      <c r="AD240" s="7" t="s">
        <v>416</v>
      </c>
      <c r="AE240" s="8"/>
      <c r="AF240" s="44"/>
      <c r="AG240" s="7" t="s">
        <v>38</v>
      </c>
      <c r="AH240" s="44"/>
      <c r="AI240" s="44"/>
      <c r="AJ240" s="44"/>
      <c r="AL240">
        <f t="shared" si="36"/>
        <v>0</v>
      </c>
      <c r="AM240">
        <f t="shared" si="37"/>
        <v>3</v>
      </c>
      <c r="AN240">
        <f t="shared" si="38"/>
        <v>4</v>
      </c>
      <c r="AO240">
        <f t="shared" si="39"/>
        <v>3</v>
      </c>
      <c r="AP240">
        <f t="shared" si="40"/>
        <v>1</v>
      </c>
      <c r="AQ240">
        <f t="shared" si="41"/>
        <v>3</v>
      </c>
      <c r="AS240" s="90">
        <v>4172</v>
      </c>
      <c r="AT240" s="90" t="s">
        <v>692</v>
      </c>
    </row>
    <row r="241" spans="1:46" ht="21" customHeight="1" thickBot="1">
      <c r="A241" s="51" t="s">
        <v>676</v>
      </c>
      <c r="B241" s="4" t="s">
        <v>671</v>
      </c>
      <c r="C241" s="29" t="s">
        <v>672</v>
      </c>
      <c r="D241" s="7">
        <v>3017423633</v>
      </c>
      <c r="E241" s="7">
        <v>12</v>
      </c>
      <c r="F241" s="47" t="s">
        <v>387</v>
      </c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3" t="s">
        <v>38</v>
      </c>
      <c r="V241" s="47" t="s">
        <v>38</v>
      </c>
      <c r="W241" s="47" t="s">
        <v>38</v>
      </c>
      <c r="X241" s="47" t="s">
        <v>38</v>
      </c>
      <c r="Y241" s="47" t="s">
        <v>38</v>
      </c>
      <c r="Z241" s="47" t="s">
        <v>38</v>
      </c>
      <c r="AA241" s="47" t="s">
        <v>38</v>
      </c>
      <c r="AB241" s="44"/>
      <c r="AC241" s="47" t="s">
        <v>38</v>
      </c>
      <c r="AD241" s="43" t="s">
        <v>416</v>
      </c>
      <c r="AE241" s="8"/>
      <c r="AF241" s="44"/>
      <c r="AG241" s="44"/>
      <c r="AH241" s="43" t="s">
        <v>38</v>
      </c>
      <c r="AI241" s="44"/>
      <c r="AJ241" s="44"/>
      <c r="AL241">
        <f t="shared" si="36"/>
        <v>0</v>
      </c>
      <c r="AM241">
        <f t="shared" si="37"/>
        <v>4</v>
      </c>
      <c r="AN241">
        <f t="shared" si="38"/>
        <v>5</v>
      </c>
      <c r="AO241">
        <f t="shared" si="39"/>
        <v>7</v>
      </c>
      <c r="AP241">
        <f t="shared" si="40"/>
        <v>1</v>
      </c>
      <c r="AQ241">
        <f t="shared" si="41"/>
        <v>4</v>
      </c>
      <c r="AS241" s="90">
        <v>4172</v>
      </c>
      <c r="AT241" s="90" t="s">
        <v>692</v>
      </c>
    </row>
    <row r="242" spans="1:46" ht="21" customHeight="1" thickBot="1">
      <c r="A242" s="51" t="s">
        <v>676</v>
      </c>
      <c r="B242" s="4" t="s">
        <v>673</v>
      </c>
      <c r="C242" s="29" t="s">
        <v>674</v>
      </c>
      <c r="D242" s="7">
        <v>3185828021</v>
      </c>
      <c r="E242" s="7">
        <v>5</v>
      </c>
      <c r="F242" s="4" t="s">
        <v>675</v>
      </c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3" t="s">
        <v>38</v>
      </c>
      <c r="U242" s="44"/>
      <c r="V242" s="47" t="s">
        <v>38</v>
      </c>
      <c r="W242" s="44"/>
      <c r="X242" s="44"/>
      <c r="Y242" s="47" t="s">
        <v>38</v>
      </c>
      <c r="Z242" s="47" t="s">
        <v>38</v>
      </c>
      <c r="AA242" s="47" t="s">
        <v>38</v>
      </c>
      <c r="AB242" s="47" t="s">
        <v>38</v>
      </c>
      <c r="AC242" s="44"/>
      <c r="AD242" s="43" t="s">
        <v>416</v>
      </c>
      <c r="AE242" s="8"/>
      <c r="AF242" s="44"/>
      <c r="AG242" s="43" t="s">
        <v>38</v>
      </c>
      <c r="AH242" s="44"/>
      <c r="AI242" s="44"/>
      <c r="AJ242" s="44"/>
      <c r="AL242">
        <f t="shared" si="36"/>
        <v>0</v>
      </c>
      <c r="AM242">
        <f t="shared" si="37"/>
        <v>3</v>
      </c>
      <c r="AN242">
        <f t="shared" si="38"/>
        <v>4</v>
      </c>
      <c r="AO242">
        <f t="shared" si="39"/>
        <v>5</v>
      </c>
      <c r="AP242">
        <f t="shared" si="40"/>
        <v>1</v>
      </c>
      <c r="AQ242">
        <f t="shared" si="41"/>
        <v>3</v>
      </c>
      <c r="AS242" s="90">
        <v>4172</v>
      </c>
      <c r="AT242" s="90" t="s">
        <v>692</v>
      </c>
    </row>
    <row r="243" spans="1:46" ht="21" customHeight="1" thickBot="1">
      <c r="A243" s="51" t="s">
        <v>677</v>
      </c>
      <c r="B243" s="4" t="s">
        <v>671</v>
      </c>
      <c r="C243" s="29" t="s">
        <v>672</v>
      </c>
      <c r="D243" s="7">
        <v>3017423633</v>
      </c>
      <c r="E243" s="7">
        <v>12</v>
      </c>
      <c r="F243" s="47" t="s">
        <v>387</v>
      </c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3" t="s">
        <v>38</v>
      </c>
      <c r="V243" s="47" t="s">
        <v>38</v>
      </c>
      <c r="W243" s="47" t="s">
        <v>38</v>
      </c>
      <c r="X243" s="47" t="s">
        <v>38</v>
      </c>
      <c r="Y243" s="47" t="s">
        <v>38</v>
      </c>
      <c r="Z243" s="47" t="s">
        <v>38</v>
      </c>
      <c r="AA243" s="47" t="s">
        <v>38</v>
      </c>
      <c r="AB243" s="44"/>
      <c r="AC243" s="47" t="s">
        <v>38</v>
      </c>
      <c r="AD243" s="43" t="s">
        <v>416</v>
      </c>
      <c r="AE243" s="8"/>
      <c r="AF243" s="44"/>
      <c r="AG243" s="44"/>
      <c r="AH243" s="43" t="s">
        <v>38</v>
      </c>
      <c r="AI243" s="44"/>
      <c r="AJ243" s="44"/>
      <c r="AL243">
        <f t="shared" si="36"/>
        <v>0</v>
      </c>
      <c r="AM243">
        <f t="shared" si="37"/>
        <v>4</v>
      </c>
      <c r="AN243">
        <f t="shared" si="38"/>
        <v>5</v>
      </c>
      <c r="AO243">
        <f t="shared" si="39"/>
        <v>7</v>
      </c>
      <c r="AP243">
        <f t="shared" si="40"/>
        <v>1</v>
      </c>
      <c r="AQ243">
        <f t="shared" si="41"/>
        <v>4</v>
      </c>
      <c r="AS243" s="90">
        <v>4172</v>
      </c>
      <c r="AT243" s="90" t="s">
        <v>692</v>
      </c>
    </row>
    <row r="244" spans="1:46" ht="21" customHeight="1" thickBot="1">
      <c r="A244" s="51" t="s">
        <v>677</v>
      </c>
      <c r="B244" s="4" t="s">
        <v>673</v>
      </c>
      <c r="C244" s="29" t="s">
        <v>674</v>
      </c>
      <c r="D244" s="7">
        <v>3185828021</v>
      </c>
      <c r="E244" s="7">
        <v>5</v>
      </c>
      <c r="F244" s="4" t="s">
        <v>675</v>
      </c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3" t="s">
        <v>38</v>
      </c>
      <c r="U244" s="44"/>
      <c r="V244" s="47" t="s">
        <v>38</v>
      </c>
      <c r="W244" s="44"/>
      <c r="X244" s="44"/>
      <c r="Y244" s="47" t="s">
        <v>38</v>
      </c>
      <c r="Z244" s="47" t="s">
        <v>38</v>
      </c>
      <c r="AA244" s="47" t="s">
        <v>38</v>
      </c>
      <c r="AB244" s="47" t="s">
        <v>38</v>
      </c>
      <c r="AC244" s="44"/>
      <c r="AD244" s="43" t="s">
        <v>416</v>
      </c>
      <c r="AE244" s="8"/>
      <c r="AF244" s="44"/>
      <c r="AG244" s="43" t="s">
        <v>38</v>
      </c>
      <c r="AH244" s="44"/>
      <c r="AI244" s="44"/>
      <c r="AJ244" s="44"/>
      <c r="AL244">
        <f t="shared" si="36"/>
        <v>0</v>
      </c>
      <c r="AM244">
        <f t="shared" si="37"/>
        <v>3</v>
      </c>
      <c r="AN244">
        <f t="shared" si="38"/>
        <v>4</v>
      </c>
      <c r="AO244">
        <f t="shared" si="39"/>
        <v>5</v>
      </c>
      <c r="AP244">
        <f t="shared" si="40"/>
        <v>1</v>
      </c>
      <c r="AQ244">
        <f t="shared" si="41"/>
        <v>3</v>
      </c>
      <c r="AS244" s="90">
        <v>4172</v>
      </c>
      <c r="AT244" s="90" t="s">
        <v>692</v>
      </c>
    </row>
    <row r="245" spans="1:46" ht="21" customHeight="1" thickBot="1">
      <c r="A245" s="51" t="s">
        <v>678</v>
      </c>
      <c r="B245" s="47" t="s">
        <v>679</v>
      </c>
      <c r="C245" s="66" t="s">
        <v>680</v>
      </c>
      <c r="D245" s="47">
        <v>3178575902</v>
      </c>
      <c r="E245" s="43">
        <v>10</v>
      </c>
      <c r="F245" s="4" t="s">
        <v>681</v>
      </c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3" t="s">
        <v>38</v>
      </c>
      <c r="U245" s="44"/>
      <c r="V245" s="47" t="s">
        <v>38</v>
      </c>
      <c r="W245" s="44"/>
      <c r="X245" s="44"/>
      <c r="Y245" s="47" t="s">
        <v>38</v>
      </c>
      <c r="Z245" s="47" t="s">
        <v>38</v>
      </c>
      <c r="AA245" s="47" t="s">
        <v>38</v>
      </c>
      <c r="AB245" s="44"/>
      <c r="AC245" s="44"/>
      <c r="AD245" s="43" t="s">
        <v>463</v>
      </c>
      <c r="AE245" s="8"/>
      <c r="AF245" s="44"/>
      <c r="AG245" s="43" t="s">
        <v>38</v>
      </c>
      <c r="AH245" s="44"/>
      <c r="AI245" s="44"/>
      <c r="AJ245" s="44"/>
      <c r="AL245">
        <f t="shared" si="36"/>
        <v>0</v>
      </c>
      <c r="AM245">
        <f t="shared" si="37"/>
        <v>3</v>
      </c>
      <c r="AN245">
        <f t="shared" si="38"/>
        <v>4</v>
      </c>
      <c r="AO245">
        <f t="shared" si="39"/>
        <v>4</v>
      </c>
      <c r="AP245">
        <f t="shared" si="40"/>
        <v>0</v>
      </c>
      <c r="AQ245">
        <f t="shared" si="41"/>
        <v>3</v>
      </c>
      <c r="AS245" s="90">
        <v>4172</v>
      </c>
      <c r="AT245" s="90" t="s">
        <v>692</v>
      </c>
    </row>
    <row r="246" spans="1:46" ht="21" customHeight="1" thickBot="1">
      <c r="A246" s="51" t="s">
        <v>678</v>
      </c>
      <c r="B246" s="47" t="s">
        <v>682</v>
      </c>
      <c r="C246" s="71" t="s">
        <v>683</v>
      </c>
      <c r="D246" s="47">
        <v>3207504491</v>
      </c>
      <c r="E246" s="43">
        <v>1</v>
      </c>
      <c r="F246" s="4" t="s">
        <v>380</v>
      </c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3" t="s">
        <v>38</v>
      </c>
      <c r="U246" s="44"/>
      <c r="V246" s="44"/>
      <c r="W246" s="44"/>
      <c r="X246" s="44"/>
      <c r="Y246" s="47" t="s">
        <v>38</v>
      </c>
      <c r="Z246" s="47" t="s">
        <v>38</v>
      </c>
      <c r="AA246" s="47" t="s">
        <v>38</v>
      </c>
      <c r="AB246" s="44"/>
      <c r="AC246" s="44"/>
      <c r="AD246" s="43" t="s">
        <v>463</v>
      </c>
      <c r="AE246" s="8"/>
      <c r="AF246" s="44"/>
      <c r="AG246" s="43" t="s">
        <v>38</v>
      </c>
      <c r="AH246" s="44"/>
      <c r="AI246" s="44"/>
      <c r="AJ246" s="44"/>
      <c r="AL246">
        <f t="shared" si="36"/>
        <v>0</v>
      </c>
      <c r="AM246">
        <f t="shared" si="37"/>
        <v>3</v>
      </c>
      <c r="AN246">
        <f t="shared" si="38"/>
        <v>4</v>
      </c>
      <c r="AO246">
        <f t="shared" si="39"/>
        <v>3</v>
      </c>
      <c r="AP246">
        <f t="shared" si="40"/>
        <v>0</v>
      </c>
      <c r="AQ246">
        <f t="shared" si="41"/>
        <v>3</v>
      </c>
      <c r="AS246" s="90">
        <v>4172</v>
      </c>
      <c r="AT246" s="90" t="s">
        <v>692</v>
      </c>
    </row>
    <row r="247" spans="1:46" ht="21" customHeight="1" thickBot="1">
      <c r="A247" s="51" t="s">
        <v>678</v>
      </c>
      <c r="B247" s="47" t="s">
        <v>684</v>
      </c>
      <c r="C247" s="71" t="s">
        <v>685</v>
      </c>
      <c r="D247" s="47">
        <v>3133282692</v>
      </c>
      <c r="E247" s="43">
        <v>0</v>
      </c>
      <c r="F247" s="4" t="s">
        <v>686</v>
      </c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3" t="s">
        <v>38</v>
      </c>
      <c r="T247" s="44"/>
      <c r="U247" s="44"/>
      <c r="V247" s="44"/>
      <c r="W247" s="44"/>
      <c r="X247" s="44"/>
      <c r="Y247" s="47" t="s">
        <v>38</v>
      </c>
      <c r="Z247" s="47" t="s">
        <v>38</v>
      </c>
      <c r="AA247" s="47" t="s">
        <v>38</v>
      </c>
      <c r="AB247" s="44"/>
      <c r="AC247" s="44"/>
      <c r="AD247" s="43" t="s">
        <v>463</v>
      </c>
      <c r="AE247" s="8"/>
      <c r="AF247" s="43" t="s">
        <v>38</v>
      </c>
      <c r="AG247" s="44"/>
      <c r="AH247" s="44"/>
      <c r="AI247" s="44"/>
      <c r="AJ247" s="44"/>
      <c r="AL247">
        <f t="shared" si="36"/>
        <v>0</v>
      </c>
      <c r="AM247">
        <f t="shared" si="37"/>
        <v>2</v>
      </c>
      <c r="AN247">
        <f t="shared" si="38"/>
        <v>3</v>
      </c>
      <c r="AO247">
        <f t="shared" si="39"/>
        <v>3</v>
      </c>
      <c r="AP247">
        <f t="shared" si="40"/>
        <v>0</v>
      </c>
      <c r="AQ247">
        <f t="shared" si="41"/>
        <v>2</v>
      </c>
      <c r="AS247" s="90">
        <v>4172</v>
      </c>
      <c r="AT247" s="90" t="s">
        <v>692</v>
      </c>
    </row>
    <row r="248" spans="1:46" ht="21" customHeight="1" thickBot="1">
      <c r="A248" s="51" t="s">
        <v>687</v>
      </c>
      <c r="B248" s="47" t="s">
        <v>688</v>
      </c>
      <c r="C248" s="67" t="s">
        <v>689</v>
      </c>
      <c r="D248" s="47">
        <v>3175108256</v>
      </c>
      <c r="E248" s="43">
        <v>8</v>
      </c>
      <c r="F248" s="4" t="s">
        <v>391</v>
      </c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3" t="s">
        <v>38</v>
      </c>
      <c r="V248" s="44"/>
      <c r="W248" s="44"/>
      <c r="X248" s="44"/>
      <c r="Y248" s="47" t="s">
        <v>38</v>
      </c>
      <c r="Z248" s="47" t="s">
        <v>38</v>
      </c>
      <c r="AA248" s="47" t="s">
        <v>38</v>
      </c>
      <c r="AB248" s="47" t="s">
        <v>38</v>
      </c>
      <c r="AC248" s="47" t="s">
        <v>38</v>
      </c>
      <c r="AD248" s="43" t="s">
        <v>463</v>
      </c>
      <c r="AE248" s="8"/>
      <c r="AF248" s="44"/>
      <c r="AG248" s="44"/>
      <c r="AH248" s="43" t="s">
        <v>38</v>
      </c>
      <c r="AI248" s="44"/>
      <c r="AJ248" s="44"/>
      <c r="AL248">
        <f t="shared" si="36"/>
        <v>0</v>
      </c>
      <c r="AM248">
        <f t="shared" si="37"/>
        <v>4</v>
      </c>
      <c r="AN248">
        <f t="shared" si="38"/>
        <v>5</v>
      </c>
      <c r="AO248">
        <f t="shared" si="39"/>
        <v>5</v>
      </c>
      <c r="AP248">
        <f t="shared" si="40"/>
        <v>0</v>
      </c>
      <c r="AQ248">
        <f t="shared" si="41"/>
        <v>4</v>
      </c>
      <c r="AS248" s="90">
        <v>4172</v>
      </c>
      <c r="AT248" s="90" t="s">
        <v>692</v>
      </c>
    </row>
    <row r="249" spans="1:46" ht="21" customHeight="1" thickBot="1">
      <c r="A249" s="51" t="s">
        <v>687</v>
      </c>
      <c r="B249" s="47" t="s">
        <v>690</v>
      </c>
      <c r="C249" s="67" t="s">
        <v>689</v>
      </c>
      <c r="D249" s="47">
        <v>3146601753</v>
      </c>
      <c r="E249" s="43">
        <v>2</v>
      </c>
      <c r="F249" s="4" t="s">
        <v>691</v>
      </c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3" t="s">
        <v>38</v>
      </c>
      <c r="U249" s="44"/>
      <c r="V249" s="44"/>
      <c r="W249" s="44"/>
      <c r="X249" s="44"/>
      <c r="Y249" s="47" t="s">
        <v>38</v>
      </c>
      <c r="Z249" s="47" t="s">
        <v>38</v>
      </c>
      <c r="AA249" s="47" t="s">
        <v>38</v>
      </c>
      <c r="AB249" s="47" t="s">
        <v>38</v>
      </c>
      <c r="AC249" s="47" t="s">
        <v>38</v>
      </c>
      <c r="AD249" s="43" t="s">
        <v>463</v>
      </c>
      <c r="AE249" s="8"/>
      <c r="AF249" s="44"/>
      <c r="AG249" s="43" t="s">
        <v>38</v>
      </c>
      <c r="AH249" s="44"/>
      <c r="AI249" s="44"/>
      <c r="AJ249" s="44"/>
      <c r="AL249">
        <f t="shared" si="36"/>
        <v>0</v>
      </c>
      <c r="AM249">
        <f t="shared" si="37"/>
        <v>3</v>
      </c>
      <c r="AN249">
        <f t="shared" si="38"/>
        <v>4</v>
      </c>
      <c r="AO249">
        <f t="shared" si="39"/>
        <v>5</v>
      </c>
      <c r="AP249">
        <f t="shared" si="40"/>
        <v>0</v>
      </c>
      <c r="AQ249">
        <f t="shared" si="41"/>
        <v>3</v>
      </c>
      <c r="AS249" s="90">
        <v>4172</v>
      </c>
      <c r="AT249" s="90" t="s">
        <v>692</v>
      </c>
    </row>
    <row r="250" spans="1:46" ht="21" customHeight="1" thickBot="1">
      <c r="A250" s="152" t="s">
        <v>693</v>
      </c>
      <c r="B250" s="153" t="s">
        <v>694</v>
      </c>
      <c r="C250" s="156" t="s">
        <v>695</v>
      </c>
      <c r="D250" s="155">
        <v>3208989809</v>
      </c>
      <c r="E250" s="37" t="s">
        <v>696</v>
      </c>
      <c r="F250" s="39">
        <v>45931</v>
      </c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7" t="s">
        <v>38</v>
      </c>
      <c r="V250" s="38"/>
      <c r="W250" s="38"/>
      <c r="X250" s="38"/>
      <c r="Y250" s="153" t="s">
        <v>38</v>
      </c>
      <c r="Z250" s="153" t="s">
        <v>38</v>
      </c>
      <c r="AA250" s="38"/>
      <c r="AB250" s="38"/>
      <c r="AC250" s="38"/>
      <c r="AD250" s="153" t="s">
        <v>39</v>
      </c>
      <c r="AE250" s="32"/>
      <c r="AF250" s="38"/>
      <c r="AG250" s="38"/>
      <c r="AH250" s="37" t="s">
        <v>38</v>
      </c>
      <c r="AI250" s="38"/>
      <c r="AJ250" s="38"/>
      <c r="AL250">
        <f t="shared" si="36"/>
        <v>0</v>
      </c>
      <c r="AM250">
        <f t="shared" si="37"/>
        <v>4</v>
      </c>
      <c r="AN250">
        <f t="shared" si="38"/>
        <v>5</v>
      </c>
      <c r="AO250">
        <f t="shared" si="39"/>
        <v>2</v>
      </c>
      <c r="AP250">
        <f t="shared" si="40"/>
        <v>0</v>
      </c>
      <c r="AQ250">
        <f t="shared" si="41"/>
        <v>4</v>
      </c>
      <c r="AS250" s="90">
        <v>4147</v>
      </c>
      <c r="AT250" s="90" t="s">
        <v>777</v>
      </c>
    </row>
    <row r="251" spans="1:46" ht="21" customHeight="1" thickBot="1">
      <c r="A251" s="51" t="s">
        <v>693</v>
      </c>
      <c r="B251" s="47" t="s">
        <v>697</v>
      </c>
      <c r="C251" s="71" t="s">
        <v>698</v>
      </c>
      <c r="D251" s="53">
        <v>3113920863</v>
      </c>
      <c r="E251" s="47" t="s">
        <v>699</v>
      </c>
      <c r="F251" s="80">
        <v>45931</v>
      </c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3" t="s">
        <v>38</v>
      </c>
      <c r="U251" s="44"/>
      <c r="V251" s="44"/>
      <c r="W251" s="44"/>
      <c r="X251" s="44"/>
      <c r="Y251" s="47" t="s">
        <v>38</v>
      </c>
      <c r="Z251" s="47" t="s">
        <v>38</v>
      </c>
      <c r="AA251" s="44"/>
      <c r="AB251" s="44"/>
      <c r="AC251" s="44"/>
      <c r="AD251" s="47" t="s">
        <v>39</v>
      </c>
      <c r="AE251" s="8"/>
      <c r="AF251" s="44"/>
      <c r="AG251" s="43" t="s">
        <v>38</v>
      </c>
      <c r="AH251" s="44"/>
      <c r="AI251" s="44"/>
      <c r="AJ251" s="44"/>
      <c r="AL251">
        <f t="shared" si="36"/>
        <v>0</v>
      </c>
      <c r="AM251">
        <f t="shared" si="37"/>
        <v>3</v>
      </c>
      <c r="AN251">
        <f t="shared" si="38"/>
        <v>4</v>
      </c>
      <c r="AO251">
        <f t="shared" si="39"/>
        <v>2</v>
      </c>
      <c r="AP251">
        <f t="shared" si="40"/>
        <v>0</v>
      </c>
      <c r="AQ251">
        <f t="shared" si="41"/>
        <v>3</v>
      </c>
      <c r="AS251" s="90">
        <v>4147</v>
      </c>
      <c r="AT251" s="90" t="s">
        <v>777</v>
      </c>
    </row>
    <row r="252" spans="1:46" ht="21" customHeight="1" thickBot="1">
      <c r="A252" s="51" t="s">
        <v>693</v>
      </c>
      <c r="B252" s="47" t="s">
        <v>700</v>
      </c>
      <c r="C252" s="71" t="s">
        <v>701</v>
      </c>
      <c r="D252" s="53">
        <v>3133399473</v>
      </c>
      <c r="E252" s="47" t="s">
        <v>702</v>
      </c>
      <c r="F252" s="80">
        <v>45931</v>
      </c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3" t="s">
        <v>38</v>
      </c>
      <c r="T252" s="44"/>
      <c r="U252" s="44"/>
      <c r="V252" s="44"/>
      <c r="W252" s="44"/>
      <c r="X252" s="44"/>
      <c r="Y252" s="47" t="s">
        <v>38</v>
      </c>
      <c r="Z252" s="47" t="s">
        <v>38</v>
      </c>
      <c r="AA252" s="44"/>
      <c r="AB252" s="44"/>
      <c r="AC252" s="44"/>
      <c r="AD252" s="47" t="s">
        <v>39</v>
      </c>
      <c r="AE252" s="8"/>
      <c r="AF252" s="43" t="s">
        <v>38</v>
      </c>
      <c r="AG252" s="44"/>
      <c r="AH252" s="44"/>
      <c r="AI252" s="44"/>
      <c r="AJ252" s="44"/>
      <c r="AL252">
        <f t="shared" si="36"/>
        <v>0</v>
      </c>
      <c r="AM252">
        <f t="shared" si="37"/>
        <v>2</v>
      </c>
      <c r="AN252">
        <f t="shared" si="38"/>
        <v>3</v>
      </c>
      <c r="AO252">
        <f t="shared" si="39"/>
        <v>2</v>
      </c>
      <c r="AP252">
        <f t="shared" si="40"/>
        <v>0</v>
      </c>
      <c r="AQ252">
        <f t="shared" si="41"/>
        <v>2</v>
      </c>
      <c r="AS252" s="90">
        <v>4147</v>
      </c>
      <c r="AT252" s="90" t="s">
        <v>777</v>
      </c>
    </row>
    <row r="253" spans="1:46" ht="21" customHeight="1" thickBot="1">
      <c r="A253" s="51" t="s">
        <v>693</v>
      </c>
      <c r="B253" s="47" t="s">
        <v>703</v>
      </c>
      <c r="C253" s="71" t="s">
        <v>704</v>
      </c>
      <c r="D253" s="53">
        <v>3152822477</v>
      </c>
      <c r="E253" s="47" t="s">
        <v>705</v>
      </c>
      <c r="F253" s="80">
        <v>45931</v>
      </c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3" t="s">
        <v>38</v>
      </c>
      <c r="V253" s="44"/>
      <c r="W253" s="44"/>
      <c r="X253" s="44"/>
      <c r="Y253" s="47" t="s">
        <v>38</v>
      </c>
      <c r="Z253" s="47" t="s">
        <v>38</v>
      </c>
      <c r="AA253" s="44"/>
      <c r="AB253" s="44"/>
      <c r="AC253" s="44"/>
      <c r="AD253" s="47" t="s">
        <v>39</v>
      </c>
      <c r="AE253" s="8"/>
      <c r="AF253" s="44"/>
      <c r="AG253" s="44"/>
      <c r="AH253" s="43" t="s">
        <v>38</v>
      </c>
      <c r="AI253" s="44"/>
      <c r="AJ253" s="44"/>
      <c r="AL253">
        <f t="shared" si="36"/>
        <v>0</v>
      </c>
      <c r="AM253">
        <f t="shared" si="37"/>
        <v>4</v>
      </c>
      <c r="AN253">
        <f t="shared" si="38"/>
        <v>5</v>
      </c>
      <c r="AO253">
        <f t="shared" si="39"/>
        <v>2</v>
      </c>
      <c r="AP253">
        <f t="shared" si="40"/>
        <v>0</v>
      </c>
      <c r="AQ253">
        <f t="shared" si="41"/>
        <v>4</v>
      </c>
      <c r="AS253" s="90">
        <v>4147</v>
      </c>
      <c r="AT253" s="90" t="s">
        <v>777</v>
      </c>
    </row>
    <row r="254" spans="1:46" ht="21" customHeight="1" thickBot="1">
      <c r="A254" s="51" t="s">
        <v>693</v>
      </c>
      <c r="B254" s="47" t="s">
        <v>706</v>
      </c>
      <c r="C254" s="71" t="s">
        <v>707</v>
      </c>
      <c r="D254" s="53">
        <v>3027324918</v>
      </c>
      <c r="E254" s="47" t="s">
        <v>708</v>
      </c>
      <c r="F254" s="80">
        <v>45931</v>
      </c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3" t="s">
        <v>38</v>
      </c>
      <c r="V254" s="44"/>
      <c r="W254" s="44"/>
      <c r="X254" s="44"/>
      <c r="Y254" s="47" t="s">
        <v>38</v>
      </c>
      <c r="Z254" s="47" t="s">
        <v>38</v>
      </c>
      <c r="AA254" s="44"/>
      <c r="AB254" s="44"/>
      <c r="AC254" s="44"/>
      <c r="AD254" s="47" t="s">
        <v>39</v>
      </c>
      <c r="AE254" s="8"/>
      <c r="AF254" s="44"/>
      <c r="AG254" s="44"/>
      <c r="AH254" s="43" t="s">
        <v>38</v>
      </c>
      <c r="AI254" s="44"/>
      <c r="AJ254" s="44"/>
      <c r="AL254">
        <f t="shared" si="36"/>
        <v>0</v>
      </c>
      <c r="AM254">
        <f t="shared" si="37"/>
        <v>4</v>
      </c>
      <c r="AN254">
        <f t="shared" si="38"/>
        <v>5</v>
      </c>
      <c r="AO254">
        <f t="shared" si="39"/>
        <v>2</v>
      </c>
      <c r="AP254">
        <f t="shared" si="40"/>
        <v>0</v>
      </c>
      <c r="AQ254">
        <f t="shared" si="41"/>
        <v>4</v>
      </c>
      <c r="AS254" s="90">
        <v>4147</v>
      </c>
      <c r="AT254" s="90" t="s">
        <v>777</v>
      </c>
    </row>
    <row r="255" spans="1:46" ht="21" customHeight="1" thickBot="1">
      <c r="A255" s="51" t="s">
        <v>693</v>
      </c>
      <c r="B255" s="47" t="s">
        <v>709</v>
      </c>
      <c r="C255" s="71" t="s">
        <v>710</v>
      </c>
      <c r="D255" s="53">
        <v>3157789710</v>
      </c>
      <c r="E255" s="47" t="s">
        <v>58</v>
      </c>
      <c r="F255" s="80">
        <v>45931</v>
      </c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3" t="s">
        <v>38</v>
      </c>
      <c r="U255" s="44"/>
      <c r="V255" s="44"/>
      <c r="W255" s="44"/>
      <c r="X255" s="44"/>
      <c r="Y255" s="47" t="s">
        <v>38</v>
      </c>
      <c r="Z255" s="47" t="s">
        <v>38</v>
      </c>
      <c r="AA255" s="44"/>
      <c r="AB255" s="44"/>
      <c r="AC255" s="44"/>
      <c r="AD255" s="47" t="s">
        <v>39</v>
      </c>
      <c r="AE255" s="8"/>
      <c r="AF255" s="44"/>
      <c r="AG255" s="43" t="s">
        <v>38</v>
      </c>
      <c r="AH255" s="44"/>
      <c r="AI255" s="44"/>
      <c r="AJ255" s="44"/>
      <c r="AL255">
        <f t="shared" si="36"/>
        <v>0</v>
      </c>
      <c r="AM255">
        <f t="shared" si="37"/>
        <v>3</v>
      </c>
      <c r="AN255">
        <f t="shared" si="38"/>
        <v>4</v>
      </c>
      <c r="AO255">
        <f t="shared" si="39"/>
        <v>2</v>
      </c>
      <c r="AP255">
        <f t="shared" si="40"/>
        <v>0</v>
      </c>
      <c r="AQ255">
        <f t="shared" si="41"/>
        <v>3</v>
      </c>
      <c r="AS255" s="90">
        <v>4147</v>
      </c>
      <c r="AT255" s="90" t="s">
        <v>777</v>
      </c>
    </row>
    <row r="256" spans="1:46" ht="21" customHeight="1" thickBot="1">
      <c r="A256" s="51" t="s">
        <v>693</v>
      </c>
      <c r="B256" s="47" t="s">
        <v>711</v>
      </c>
      <c r="C256" s="71" t="s">
        <v>712</v>
      </c>
      <c r="D256" s="53">
        <v>3154637771</v>
      </c>
      <c r="E256" s="47" t="s">
        <v>713</v>
      </c>
      <c r="F256" s="80">
        <v>45931</v>
      </c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3" t="s">
        <v>38</v>
      </c>
      <c r="V256" s="44"/>
      <c r="W256" s="44"/>
      <c r="X256" s="44"/>
      <c r="Y256" s="47" t="s">
        <v>38</v>
      </c>
      <c r="Z256" s="47" t="s">
        <v>38</v>
      </c>
      <c r="AA256" s="44"/>
      <c r="AB256" s="44"/>
      <c r="AC256" s="44"/>
      <c r="AD256" s="47" t="s">
        <v>39</v>
      </c>
      <c r="AE256" s="8"/>
      <c r="AF256" s="44"/>
      <c r="AG256" s="44"/>
      <c r="AH256" s="43" t="s">
        <v>38</v>
      </c>
      <c r="AI256" s="44"/>
      <c r="AJ256" s="44"/>
      <c r="AL256">
        <f t="shared" si="36"/>
        <v>0</v>
      </c>
      <c r="AM256">
        <f t="shared" si="37"/>
        <v>4</v>
      </c>
      <c r="AN256">
        <f t="shared" si="38"/>
        <v>5</v>
      </c>
      <c r="AO256">
        <f t="shared" si="39"/>
        <v>2</v>
      </c>
      <c r="AP256">
        <f t="shared" si="40"/>
        <v>0</v>
      </c>
      <c r="AQ256">
        <f t="shared" si="41"/>
        <v>4</v>
      </c>
      <c r="AS256" s="90">
        <v>4147</v>
      </c>
      <c r="AT256" s="90" t="s">
        <v>777</v>
      </c>
    </row>
    <row r="257" spans="1:46" ht="21" customHeight="1" thickBot="1">
      <c r="A257" s="51" t="s">
        <v>693</v>
      </c>
      <c r="B257" s="47" t="s">
        <v>714</v>
      </c>
      <c r="C257" s="71" t="s">
        <v>715</v>
      </c>
      <c r="D257" s="53">
        <v>3175748962</v>
      </c>
      <c r="E257" s="47" t="s">
        <v>716</v>
      </c>
      <c r="F257" s="80">
        <v>45931</v>
      </c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3" t="s">
        <v>38</v>
      </c>
      <c r="U257" s="44"/>
      <c r="V257" s="44"/>
      <c r="W257" s="44"/>
      <c r="X257" s="44"/>
      <c r="Y257" s="47" t="s">
        <v>38</v>
      </c>
      <c r="Z257" s="47" t="s">
        <v>38</v>
      </c>
      <c r="AA257" s="44"/>
      <c r="AB257" s="44"/>
      <c r="AC257" s="44"/>
      <c r="AD257" s="47" t="s">
        <v>39</v>
      </c>
      <c r="AE257" s="8"/>
      <c r="AF257" s="44"/>
      <c r="AG257" s="43" t="s">
        <v>38</v>
      </c>
      <c r="AH257" s="44"/>
      <c r="AI257" s="44"/>
      <c r="AJ257" s="44"/>
      <c r="AL257">
        <f t="shared" si="36"/>
        <v>0</v>
      </c>
      <c r="AM257">
        <f t="shared" si="37"/>
        <v>3</v>
      </c>
      <c r="AN257">
        <f t="shared" si="38"/>
        <v>4</v>
      </c>
      <c r="AO257">
        <f t="shared" si="39"/>
        <v>2</v>
      </c>
      <c r="AP257">
        <f t="shared" si="40"/>
        <v>0</v>
      </c>
      <c r="AQ257">
        <f t="shared" si="41"/>
        <v>3</v>
      </c>
      <c r="AS257" s="90">
        <v>4147</v>
      </c>
      <c r="AT257" s="90" t="s">
        <v>777</v>
      </c>
    </row>
    <row r="258" spans="1:46" ht="21" customHeight="1" thickBot="1">
      <c r="A258" s="51" t="s">
        <v>693</v>
      </c>
      <c r="B258" s="47" t="s">
        <v>717</v>
      </c>
      <c r="C258" s="71" t="s">
        <v>718</v>
      </c>
      <c r="D258" s="53">
        <v>3166938242</v>
      </c>
      <c r="E258" s="47" t="s">
        <v>719</v>
      </c>
      <c r="F258" s="80">
        <v>45931</v>
      </c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3" t="s">
        <v>38</v>
      </c>
      <c r="U258" s="44"/>
      <c r="V258" s="44"/>
      <c r="W258" s="44"/>
      <c r="X258" s="44"/>
      <c r="Y258" s="47" t="s">
        <v>38</v>
      </c>
      <c r="Z258" s="47" t="s">
        <v>38</v>
      </c>
      <c r="AA258" s="44"/>
      <c r="AB258" s="44"/>
      <c r="AC258" s="44"/>
      <c r="AD258" s="47" t="s">
        <v>39</v>
      </c>
      <c r="AE258" s="8"/>
      <c r="AF258" s="44"/>
      <c r="AG258" s="43" t="s">
        <v>38</v>
      </c>
      <c r="AH258" s="44"/>
      <c r="AI258" s="44"/>
      <c r="AJ258" s="44"/>
      <c r="AL258">
        <f t="shared" si="36"/>
        <v>0</v>
      </c>
      <c r="AM258">
        <f t="shared" si="37"/>
        <v>3</v>
      </c>
      <c r="AN258">
        <f t="shared" si="38"/>
        <v>4</v>
      </c>
      <c r="AO258">
        <f t="shared" si="39"/>
        <v>2</v>
      </c>
      <c r="AP258">
        <f t="shared" si="40"/>
        <v>0</v>
      </c>
      <c r="AQ258">
        <f t="shared" si="41"/>
        <v>3</v>
      </c>
      <c r="AS258" s="90">
        <v>4147</v>
      </c>
      <c r="AT258" s="90" t="s">
        <v>777</v>
      </c>
    </row>
    <row r="259" spans="1:46" ht="21" customHeight="1" thickBot="1">
      <c r="A259" s="51" t="s">
        <v>693</v>
      </c>
      <c r="B259" s="47" t="s">
        <v>720</v>
      </c>
      <c r="C259" s="71" t="s">
        <v>721</v>
      </c>
      <c r="D259" s="53">
        <v>3128806776</v>
      </c>
      <c r="E259" s="47" t="s">
        <v>716</v>
      </c>
      <c r="F259" s="80">
        <v>45931</v>
      </c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3" t="s">
        <v>38</v>
      </c>
      <c r="S259" s="44"/>
      <c r="T259" s="44"/>
      <c r="U259" s="44"/>
      <c r="V259" s="44"/>
      <c r="W259" s="44"/>
      <c r="X259" s="44"/>
      <c r="Y259" s="47" t="s">
        <v>38</v>
      </c>
      <c r="Z259" s="47" t="s">
        <v>38</v>
      </c>
      <c r="AA259" s="44"/>
      <c r="AB259" s="44"/>
      <c r="AC259" s="44"/>
      <c r="AD259" s="47" t="s">
        <v>39</v>
      </c>
      <c r="AE259" s="11" t="s">
        <v>38</v>
      </c>
      <c r="AF259" s="44"/>
      <c r="AG259" s="44"/>
      <c r="AH259" s="44"/>
      <c r="AI259" s="44"/>
      <c r="AJ259" s="44"/>
      <c r="AL259">
        <f t="shared" si="36"/>
        <v>0</v>
      </c>
      <c r="AM259">
        <f t="shared" si="37"/>
        <v>1</v>
      </c>
      <c r="AN259">
        <f t="shared" si="38"/>
        <v>2</v>
      </c>
      <c r="AO259">
        <f t="shared" si="39"/>
        <v>2</v>
      </c>
      <c r="AP259">
        <f t="shared" si="40"/>
        <v>0</v>
      </c>
      <c r="AQ259">
        <f t="shared" si="41"/>
        <v>1</v>
      </c>
      <c r="AS259" s="90">
        <v>4147</v>
      </c>
      <c r="AT259" s="90" t="s">
        <v>777</v>
      </c>
    </row>
    <row r="260" spans="1:46" ht="21" customHeight="1" thickBot="1">
      <c r="A260" s="51" t="s">
        <v>693</v>
      </c>
      <c r="B260" s="47" t="s">
        <v>722</v>
      </c>
      <c r="C260" s="71" t="s">
        <v>723</v>
      </c>
      <c r="D260" s="53">
        <v>3004277371</v>
      </c>
      <c r="E260" s="47" t="s">
        <v>716</v>
      </c>
      <c r="F260" s="80">
        <v>45931</v>
      </c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3" t="s">
        <v>38</v>
      </c>
      <c r="S260" s="44"/>
      <c r="T260" s="44"/>
      <c r="U260" s="44"/>
      <c r="V260" s="44"/>
      <c r="W260" s="44"/>
      <c r="X260" s="44"/>
      <c r="Y260" s="47" t="s">
        <v>38</v>
      </c>
      <c r="Z260" s="47" t="s">
        <v>38</v>
      </c>
      <c r="AA260" s="44"/>
      <c r="AB260" s="44"/>
      <c r="AC260" s="44"/>
      <c r="AD260" s="47" t="s">
        <v>39</v>
      </c>
      <c r="AE260" s="8"/>
      <c r="AF260" s="43" t="s">
        <v>38</v>
      </c>
      <c r="AG260" s="44"/>
      <c r="AH260" s="44"/>
      <c r="AI260" s="44"/>
      <c r="AJ260" s="44"/>
      <c r="AL260">
        <f t="shared" si="36"/>
        <v>0</v>
      </c>
      <c r="AM260">
        <f t="shared" si="37"/>
        <v>1</v>
      </c>
      <c r="AN260">
        <f t="shared" si="38"/>
        <v>2</v>
      </c>
      <c r="AO260">
        <f t="shared" si="39"/>
        <v>2</v>
      </c>
      <c r="AP260">
        <f t="shared" si="40"/>
        <v>0</v>
      </c>
      <c r="AQ260">
        <f t="shared" si="41"/>
        <v>2</v>
      </c>
      <c r="AS260" s="90">
        <v>4147</v>
      </c>
      <c r="AT260" s="90" t="s">
        <v>777</v>
      </c>
    </row>
    <row r="261" spans="1:46" ht="21" customHeight="1" thickBot="1">
      <c r="A261" s="51" t="s">
        <v>693</v>
      </c>
      <c r="B261" s="47" t="s">
        <v>724</v>
      </c>
      <c r="C261" s="71" t="s">
        <v>725</v>
      </c>
      <c r="D261" s="53">
        <v>3157028940</v>
      </c>
      <c r="E261" s="47" t="s">
        <v>726</v>
      </c>
      <c r="F261" s="80">
        <v>45931</v>
      </c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3" t="s">
        <v>38</v>
      </c>
      <c r="T261" s="44"/>
      <c r="U261" s="44"/>
      <c r="V261" s="44"/>
      <c r="W261" s="44"/>
      <c r="X261" s="44"/>
      <c r="Y261" s="47" t="s">
        <v>38</v>
      </c>
      <c r="Z261" s="47" t="s">
        <v>38</v>
      </c>
      <c r="AA261" s="44"/>
      <c r="AB261" s="44"/>
      <c r="AC261" s="44"/>
      <c r="AD261" s="47" t="s">
        <v>39</v>
      </c>
      <c r="AE261" s="8"/>
      <c r="AF261" s="43" t="s">
        <v>38</v>
      </c>
      <c r="AG261" s="44"/>
      <c r="AH261" s="44"/>
      <c r="AI261" s="44"/>
      <c r="AJ261" s="44"/>
      <c r="AL261">
        <f t="shared" si="36"/>
        <v>0</v>
      </c>
      <c r="AM261">
        <f t="shared" si="37"/>
        <v>2</v>
      </c>
      <c r="AN261">
        <f t="shared" si="38"/>
        <v>3</v>
      </c>
      <c r="AO261">
        <f t="shared" si="39"/>
        <v>2</v>
      </c>
      <c r="AP261">
        <f t="shared" si="40"/>
        <v>0</v>
      </c>
      <c r="AQ261">
        <f t="shared" si="41"/>
        <v>2</v>
      </c>
      <c r="AS261" s="90">
        <v>4147</v>
      </c>
      <c r="AT261" s="90" t="s">
        <v>777</v>
      </c>
    </row>
    <row r="262" spans="1:46" ht="21" customHeight="1" thickBot="1">
      <c r="A262" s="51" t="s">
        <v>727</v>
      </c>
      <c r="B262" s="47" t="s">
        <v>728</v>
      </c>
      <c r="C262" s="71" t="s">
        <v>729</v>
      </c>
      <c r="D262" s="53">
        <v>3023620259</v>
      </c>
      <c r="E262" s="53">
        <v>3</v>
      </c>
      <c r="F262" s="80">
        <v>45931</v>
      </c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7" t="s">
        <v>94</v>
      </c>
      <c r="U262" s="44"/>
      <c r="V262" s="47" t="s">
        <v>94</v>
      </c>
      <c r="W262" s="47" t="s">
        <v>94</v>
      </c>
      <c r="X262" s="47" t="s">
        <v>94</v>
      </c>
      <c r="Y262" s="44"/>
      <c r="Z262" s="44"/>
      <c r="AA262" s="47" t="s">
        <v>94</v>
      </c>
      <c r="AB262" s="44"/>
      <c r="AC262" s="47" t="s">
        <v>94</v>
      </c>
      <c r="AD262" s="44"/>
      <c r="AE262" s="8"/>
      <c r="AF262" s="44"/>
      <c r="AG262" s="44"/>
      <c r="AH262" s="44"/>
      <c r="AI262" s="47" t="s">
        <v>94</v>
      </c>
      <c r="AJ262" s="44"/>
      <c r="AL262">
        <f t="shared" si="36"/>
        <v>0</v>
      </c>
      <c r="AM262">
        <f t="shared" si="37"/>
        <v>3</v>
      </c>
      <c r="AN262">
        <f t="shared" si="38"/>
        <v>4</v>
      </c>
      <c r="AO262">
        <f t="shared" si="39"/>
        <v>5</v>
      </c>
      <c r="AP262">
        <f t="shared" si="40"/>
        <v>0</v>
      </c>
      <c r="AQ262">
        <f t="shared" si="41"/>
        <v>5</v>
      </c>
      <c r="AS262" s="90">
        <v>4147</v>
      </c>
      <c r="AT262" s="90" t="s">
        <v>777</v>
      </c>
    </row>
    <row r="263" spans="1:46" ht="21" customHeight="1" thickBot="1">
      <c r="A263" s="51" t="s">
        <v>727</v>
      </c>
      <c r="B263" s="47" t="s">
        <v>730</v>
      </c>
      <c r="C263" s="71" t="s">
        <v>731</v>
      </c>
      <c r="D263" s="53">
        <v>3148960262</v>
      </c>
      <c r="E263" s="53">
        <v>22</v>
      </c>
      <c r="F263" s="80">
        <v>45931</v>
      </c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7" t="s">
        <v>94</v>
      </c>
      <c r="U263" s="44"/>
      <c r="V263" s="44"/>
      <c r="W263" s="44"/>
      <c r="X263" s="44"/>
      <c r="Y263" s="47" t="s">
        <v>94</v>
      </c>
      <c r="Z263" s="47" t="s">
        <v>94</v>
      </c>
      <c r="AA263" s="44"/>
      <c r="AB263" s="44"/>
      <c r="AC263" s="44"/>
      <c r="AD263" s="44"/>
      <c r="AE263" s="8"/>
      <c r="AF263" s="44"/>
      <c r="AG263" s="47" t="s">
        <v>94</v>
      </c>
      <c r="AH263" s="44"/>
      <c r="AI263" s="44"/>
      <c r="AJ263" s="44"/>
      <c r="AL263">
        <f t="shared" si="36"/>
        <v>0</v>
      </c>
      <c r="AM263">
        <f t="shared" si="37"/>
        <v>3</v>
      </c>
      <c r="AN263">
        <f t="shared" si="38"/>
        <v>4</v>
      </c>
      <c r="AO263">
        <f t="shared" si="39"/>
        <v>2</v>
      </c>
      <c r="AP263">
        <f t="shared" si="40"/>
        <v>0</v>
      </c>
      <c r="AQ263">
        <f t="shared" si="41"/>
        <v>3</v>
      </c>
      <c r="AS263" s="90">
        <v>4147</v>
      </c>
      <c r="AT263" s="90" t="s">
        <v>777</v>
      </c>
    </row>
    <row r="264" spans="1:46" ht="21" customHeight="1" thickBot="1">
      <c r="A264" s="51" t="s">
        <v>727</v>
      </c>
      <c r="B264" s="47" t="s">
        <v>732</v>
      </c>
      <c r="C264" s="71" t="s">
        <v>733</v>
      </c>
      <c r="D264" s="53">
        <v>3166294370</v>
      </c>
      <c r="E264" s="53">
        <v>8</v>
      </c>
      <c r="F264" s="80">
        <v>45931</v>
      </c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7" t="s">
        <v>94</v>
      </c>
      <c r="U264" s="44"/>
      <c r="V264" s="44"/>
      <c r="W264" s="44"/>
      <c r="X264" s="44"/>
      <c r="Y264" s="47" t="s">
        <v>94</v>
      </c>
      <c r="Z264" s="47" t="s">
        <v>94</v>
      </c>
      <c r="AA264" s="44"/>
      <c r="AB264" s="44"/>
      <c r="AC264" s="44"/>
      <c r="AD264" s="44"/>
      <c r="AE264" s="8"/>
      <c r="AF264" s="44"/>
      <c r="AG264" s="47" t="s">
        <v>94</v>
      </c>
      <c r="AH264" s="44"/>
      <c r="AI264" s="44"/>
      <c r="AJ264" s="44"/>
      <c r="AL264">
        <f t="shared" si="36"/>
        <v>0</v>
      </c>
      <c r="AM264">
        <f t="shared" si="37"/>
        <v>3</v>
      </c>
      <c r="AN264">
        <f t="shared" si="38"/>
        <v>4</v>
      </c>
      <c r="AO264">
        <f t="shared" si="39"/>
        <v>2</v>
      </c>
      <c r="AP264">
        <f t="shared" si="40"/>
        <v>0</v>
      </c>
      <c r="AQ264">
        <f t="shared" si="41"/>
        <v>3</v>
      </c>
      <c r="AS264" s="90">
        <v>4147</v>
      </c>
      <c r="AT264" s="90" t="s">
        <v>777</v>
      </c>
    </row>
    <row r="265" spans="1:46" ht="21" customHeight="1" thickBot="1">
      <c r="A265" s="51" t="s">
        <v>727</v>
      </c>
      <c r="B265" s="47" t="s">
        <v>734</v>
      </c>
      <c r="C265" s="71" t="s">
        <v>735</v>
      </c>
      <c r="D265" s="53">
        <v>3187945890</v>
      </c>
      <c r="E265" s="53">
        <v>9</v>
      </c>
      <c r="F265" s="80">
        <v>45931</v>
      </c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7" t="s">
        <v>94</v>
      </c>
      <c r="V265" s="44"/>
      <c r="W265" s="47" t="s">
        <v>94</v>
      </c>
      <c r="X265" s="47" t="s">
        <v>94</v>
      </c>
      <c r="Y265" s="44"/>
      <c r="Z265" s="44"/>
      <c r="AA265" s="47" t="s">
        <v>94</v>
      </c>
      <c r="AB265" s="44"/>
      <c r="AC265" s="44"/>
      <c r="AD265" s="44"/>
      <c r="AE265" s="8"/>
      <c r="AF265" s="44"/>
      <c r="AG265" s="44"/>
      <c r="AH265" s="47" t="s">
        <v>94</v>
      </c>
      <c r="AI265" s="44"/>
      <c r="AJ265" s="44"/>
      <c r="AL265">
        <f t="shared" si="36"/>
        <v>0</v>
      </c>
      <c r="AM265">
        <f t="shared" si="37"/>
        <v>4</v>
      </c>
      <c r="AN265">
        <f t="shared" si="38"/>
        <v>5</v>
      </c>
      <c r="AO265">
        <f t="shared" si="39"/>
        <v>3</v>
      </c>
      <c r="AP265">
        <f t="shared" si="40"/>
        <v>0</v>
      </c>
      <c r="AQ265">
        <f t="shared" si="41"/>
        <v>4</v>
      </c>
      <c r="AS265" s="90">
        <v>4147</v>
      </c>
      <c r="AT265" s="90" t="s">
        <v>777</v>
      </c>
    </row>
    <row r="266" spans="1:46" ht="21" customHeight="1" thickBot="1">
      <c r="A266" s="51" t="s">
        <v>727</v>
      </c>
      <c r="B266" s="47" t="s">
        <v>736</v>
      </c>
      <c r="C266" s="71" t="s">
        <v>737</v>
      </c>
      <c r="D266" s="53">
        <v>3126289976</v>
      </c>
      <c r="E266" s="53">
        <v>5</v>
      </c>
      <c r="F266" s="80">
        <v>45931</v>
      </c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7" t="s">
        <v>94</v>
      </c>
      <c r="U266" s="44"/>
      <c r="V266" s="44"/>
      <c r="W266" s="44"/>
      <c r="X266" s="44"/>
      <c r="Y266" s="47" t="s">
        <v>94</v>
      </c>
      <c r="Z266" s="47" t="s">
        <v>94</v>
      </c>
      <c r="AA266" s="44"/>
      <c r="AB266" s="44"/>
      <c r="AC266" s="44"/>
      <c r="AD266" s="44"/>
      <c r="AE266" s="8"/>
      <c r="AF266" s="44"/>
      <c r="AG266" s="47" t="s">
        <v>94</v>
      </c>
      <c r="AH266" s="44"/>
      <c r="AI266" s="44"/>
      <c r="AJ266" s="44"/>
      <c r="AL266">
        <f t="shared" si="36"/>
        <v>0</v>
      </c>
      <c r="AM266">
        <f t="shared" si="37"/>
        <v>3</v>
      </c>
      <c r="AN266">
        <f t="shared" si="38"/>
        <v>4</v>
      </c>
      <c r="AO266">
        <f t="shared" si="39"/>
        <v>2</v>
      </c>
      <c r="AP266">
        <f t="shared" si="40"/>
        <v>0</v>
      </c>
      <c r="AQ266">
        <f t="shared" si="41"/>
        <v>3</v>
      </c>
      <c r="AS266" s="90">
        <v>4147</v>
      </c>
      <c r="AT266" s="90" t="s">
        <v>777</v>
      </c>
    </row>
    <row r="267" spans="1:46" ht="21" customHeight="1" thickBot="1">
      <c r="A267" s="51" t="s">
        <v>727</v>
      </c>
      <c r="B267" s="47" t="s">
        <v>738</v>
      </c>
      <c r="C267" s="71" t="s">
        <v>739</v>
      </c>
      <c r="D267" s="53">
        <v>3183396596</v>
      </c>
      <c r="E267" s="53">
        <v>20</v>
      </c>
      <c r="F267" s="80">
        <v>45931</v>
      </c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7" t="s">
        <v>94</v>
      </c>
      <c r="V267" s="44"/>
      <c r="W267" s="44"/>
      <c r="X267" s="44"/>
      <c r="Y267" s="44"/>
      <c r="Z267" s="44"/>
      <c r="AA267" s="47" t="s">
        <v>94</v>
      </c>
      <c r="AB267" s="47" t="s">
        <v>94</v>
      </c>
      <c r="AC267" s="44"/>
      <c r="AD267" s="44"/>
      <c r="AE267" s="8"/>
      <c r="AF267" s="44"/>
      <c r="AG267" s="44"/>
      <c r="AH267" s="47" t="s">
        <v>94</v>
      </c>
      <c r="AI267" s="44"/>
      <c r="AJ267" s="44"/>
      <c r="AL267">
        <f t="shared" si="36"/>
        <v>0</v>
      </c>
      <c r="AM267">
        <f t="shared" si="37"/>
        <v>4</v>
      </c>
      <c r="AN267">
        <f t="shared" si="38"/>
        <v>5</v>
      </c>
      <c r="AO267">
        <f t="shared" si="39"/>
        <v>2</v>
      </c>
      <c r="AP267">
        <f t="shared" si="40"/>
        <v>0</v>
      </c>
      <c r="AQ267">
        <f t="shared" si="41"/>
        <v>4</v>
      </c>
      <c r="AS267" s="90">
        <v>4147</v>
      </c>
      <c r="AT267" s="90" t="s">
        <v>777</v>
      </c>
    </row>
    <row r="268" spans="1:46" ht="21" customHeight="1" thickBot="1">
      <c r="A268" s="51" t="s">
        <v>727</v>
      </c>
      <c r="B268" s="47" t="s">
        <v>740</v>
      </c>
      <c r="C268" s="71" t="s">
        <v>741</v>
      </c>
      <c r="D268" s="53">
        <v>3108014829</v>
      </c>
      <c r="E268" s="53">
        <v>12</v>
      </c>
      <c r="F268" s="80">
        <v>45931</v>
      </c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7" t="s">
        <v>94</v>
      </c>
      <c r="U268" s="44"/>
      <c r="V268" s="44"/>
      <c r="W268" s="44"/>
      <c r="X268" s="44"/>
      <c r="Y268" s="44"/>
      <c r="Z268" s="44"/>
      <c r="AA268" s="44"/>
      <c r="AB268" s="47" t="s">
        <v>94</v>
      </c>
      <c r="AC268" s="44"/>
      <c r="AD268" s="44"/>
      <c r="AE268" s="8"/>
      <c r="AF268" s="44"/>
      <c r="AG268" s="44"/>
      <c r="AH268" s="47" t="s">
        <v>94</v>
      </c>
      <c r="AI268" s="44"/>
      <c r="AJ268" s="44"/>
      <c r="AL268">
        <f t="shared" si="36"/>
        <v>0</v>
      </c>
      <c r="AM268">
        <f t="shared" si="37"/>
        <v>3</v>
      </c>
      <c r="AN268">
        <f t="shared" si="38"/>
        <v>4</v>
      </c>
      <c r="AO268">
        <f t="shared" si="39"/>
        <v>1</v>
      </c>
      <c r="AP268">
        <f t="shared" si="40"/>
        <v>0</v>
      </c>
      <c r="AQ268">
        <f t="shared" si="41"/>
        <v>4</v>
      </c>
      <c r="AS268" s="90">
        <v>4147</v>
      </c>
      <c r="AT268" s="90" t="s">
        <v>777</v>
      </c>
    </row>
    <row r="269" spans="1:46" ht="21" customHeight="1" thickBot="1">
      <c r="A269" s="51" t="s">
        <v>727</v>
      </c>
      <c r="B269" s="47" t="s">
        <v>742</v>
      </c>
      <c r="C269" s="71" t="s">
        <v>743</v>
      </c>
      <c r="D269" s="53">
        <v>3127063096</v>
      </c>
      <c r="E269" s="53">
        <v>10</v>
      </c>
      <c r="F269" s="80">
        <v>45931</v>
      </c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7" t="s">
        <v>94</v>
      </c>
      <c r="U269" s="44"/>
      <c r="V269" s="44"/>
      <c r="W269" s="44"/>
      <c r="X269" s="44"/>
      <c r="Y269" s="47" t="s">
        <v>94</v>
      </c>
      <c r="Z269" s="47" t="s">
        <v>94</v>
      </c>
      <c r="AA269" s="44"/>
      <c r="AB269" s="44"/>
      <c r="AC269" s="44"/>
      <c r="AD269" s="44"/>
      <c r="AE269" s="8"/>
      <c r="AF269" s="44"/>
      <c r="AG269" s="44"/>
      <c r="AH269" s="47" t="s">
        <v>94</v>
      </c>
      <c r="AI269" s="44"/>
      <c r="AJ269" s="44"/>
      <c r="AL269">
        <f t="shared" si="36"/>
        <v>0</v>
      </c>
      <c r="AM269">
        <f t="shared" si="37"/>
        <v>3</v>
      </c>
      <c r="AN269">
        <f t="shared" si="38"/>
        <v>4</v>
      </c>
      <c r="AO269">
        <f t="shared" si="39"/>
        <v>2</v>
      </c>
      <c r="AP269">
        <f t="shared" si="40"/>
        <v>0</v>
      </c>
      <c r="AQ269">
        <f t="shared" si="41"/>
        <v>4</v>
      </c>
      <c r="AS269" s="90">
        <v>4147</v>
      </c>
      <c r="AT269" s="90" t="s">
        <v>777</v>
      </c>
    </row>
    <row r="270" spans="1:46" ht="21" customHeight="1" thickBot="1">
      <c r="A270" s="51" t="s">
        <v>727</v>
      </c>
      <c r="B270" s="47" t="s">
        <v>744</v>
      </c>
      <c r="C270" s="71" t="s">
        <v>745</v>
      </c>
      <c r="D270" s="53">
        <v>3154224720</v>
      </c>
      <c r="E270" s="53">
        <v>8</v>
      </c>
      <c r="F270" s="80">
        <v>45931</v>
      </c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7" t="s">
        <v>94</v>
      </c>
      <c r="U270" s="44"/>
      <c r="V270" s="44"/>
      <c r="W270" s="44"/>
      <c r="X270" s="44"/>
      <c r="Y270" s="47" t="s">
        <v>94</v>
      </c>
      <c r="Z270" s="47" t="s">
        <v>94</v>
      </c>
      <c r="AA270" s="44"/>
      <c r="AB270" s="44"/>
      <c r="AC270" s="44"/>
      <c r="AD270" s="44"/>
      <c r="AE270" s="8"/>
      <c r="AF270" s="44"/>
      <c r="AG270" s="47" t="s">
        <v>94</v>
      </c>
      <c r="AH270" s="44"/>
      <c r="AI270" s="44"/>
      <c r="AJ270" s="44"/>
      <c r="AL270">
        <f t="shared" si="36"/>
        <v>0</v>
      </c>
      <c r="AM270">
        <f t="shared" si="37"/>
        <v>3</v>
      </c>
      <c r="AN270">
        <f t="shared" si="38"/>
        <v>4</v>
      </c>
      <c r="AO270">
        <f t="shared" si="39"/>
        <v>2</v>
      </c>
      <c r="AP270">
        <f t="shared" si="40"/>
        <v>0</v>
      </c>
      <c r="AQ270">
        <f t="shared" si="41"/>
        <v>3</v>
      </c>
      <c r="AS270" s="90">
        <v>4147</v>
      </c>
      <c r="AT270" s="90" t="s">
        <v>777</v>
      </c>
    </row>
    <row r="271" spans="1:46" ht="21" customHeight="1" thickBot="1">
      <c r="A271" s="51" t="s">
        <v>727</v>
      </c>
      <c r="B271" s="47" t="s">
        <v>746</v>
      </c>
      <c r="C271" s="71" t="s">
        <v>747</v>
      </c>
      <c r="D271" s="53">
        <v>3128849695</v>
      </c>
      <c r="E271" s="53">
        <v>6</v>
      </c>
      <c r="F271" s="80">
        <v>45931</v>
      </c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7" t="s">
        <v>94</v>
      </c>
      <c r="U271" s="44"/>
      <c r="V271" s="44"/>
      <c r="W271" s="44"/>
      <c r="X271" s="44"/>
      <c r="Y271" s="47" t="s">
        <v>94</v>
      </c>
      <c r="Z271" s="47" t="s">
        <v>94</v>
      </c>
      <c r="AA271" s="44"/>
      <c r="AB271" s="47" t="s">
        <v>94</v>
      </c>
      <c r="AC271" s="44"/>
      <c r="AD271" s="44"/>
      <c r="AE271" s="8"/>
      <c r="AF271" s="44"/>
      <c r="AG271" s="47" t="s">
        <v>94</v>
      </c>
      <c r="AH271" s="44"/>
      <c r="AI271" s="44"/>
      <c r="AJ271" s="44"/>
      <c r="AL271">
        <f t="shared" si="36"/>
        <v>0</v>
      </c>
      <c r="AM271">
        <f t="shared" si="37"/>
        <v>3</v>
      </c>
      <c r="AN271">
        <f t="shared" si="38"/>
        <v>4</v>
      </c>
      <c r="AO271">
        <f t="shared" si="39"/>
        <v>3</v>
      </c>
      <c r="AP271">
        <f t="shared" si="40"/>
        <v>0</v>
      </c>
      <c r="AQ271">
        <f t="shared" si="41"/>
        <v>3</v>
      </c>
      <c r="AS271" s="90">
        <v>4147</v>
      </c>
      <c r="AT271" s="90" t="s">
        <v>777</v>
      </c>
    </row>
    <row r="272" spans="1:46" ht="21" customHeight="1" thickBot="1">
      <c r="A272" s="51" t="s">
        <v>727</v>
      </c>
      <c r="B272" s="47" t="s">
        <v>748</v>
      </c>
      <c r="C272" s="71" t="s">
        <v>749</v>
      </c>
      <c r="D272" s="53">
        <v>3135214112</v>
      </c>
      <c r="E272" s="53">
        <v>0</v>
      </c>
      <c r="F272" s="80">
        <v>45931</v>
      </c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3" t="s">
        <v>94</v>
      </c>
      <c r="T272" s="44"/>
      <c r="U272" s="44"/>
      <c r="V272" s="44"/>
      <c r="W272" s="44"/>
      <c r="X272" s="44"/>
      <c r="Y272" s="44"/>
      <c r="Z272" s="44"/>
      <c r="AA272" s="47" t="s">
        <v>94</v>
      </c>
      <c r="AB272" s="44"/>
      <c r="AC272" s="44"/>
      <c r="AD272" s="44"/>
      <c r="AE272" s="8"/>
      <c r="AF272" s="43" t="s">
        <v>94</v>
      </c>
      <c r="AG272" s="44"/>
      <c r="AH272" s="44"/>
      <c r="AI272" s="44"/>
      <c r="AJ272" s="44"/>
      <c r="AL272">
        <f t="shared" si="36"/>
        <v>0</v>
      </c>
      <c r="AM272">
        <f t="shared" si="37"/>
        <v>2</v>
      </c>
      <c r="AN272">
        <f t="shared" si="38"/>
        <v>3</v>
      </c>
      <c r="AO272">
        <f t="shared" si="39"/>
        <v>1</v>
      </c>
      <c r="AP272">
        <f t="shared" si="40"/>
        <v>0</v>
      </c>
      <c r="AQ272">
        <f t="shared" si="41"/>
        <v>2</v>
      </c>
      <c r="AS272" s="90">
        <v>4147</v>
      </c>
      <c r="AT272" s="90" t="s">
        <v>777</v>
      </c>
    </row>
    <row r="273" spans="1:46" ht="21" customHeight="1" thickBot="1">
      <c r="A273" s="51" t="s">
        <v>727</v>
      </c>
      <c r="B273" s="47" t="s">
        <v>750</v>
      </c>
      <c r="C273" s="71" t="s">
        <v>751</v>
      </c>
      <c r="D273" s="53">
        <v>3128109597</v>
      </c>
      <c r="E273" s="53">
        <v>0</v>
      </c>
      <c r="F273" s="80">
        <v>45931</v>
      </c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3" t="s">
        <v>94</v>
      </c>
      <c r="T273" s="44"/>
      <c r="U273" s="44"/>
      <c r="V273" s="44"/>
      <c r="W273" s="44"/>
      <c r="X273" s="44"/>
      <c r="Y273" s="47" t="s">
        <v>94</v>
      </c>
      <c r="Z273" s="44"/>
      <c r="AA273" s="44"/>
      <c r="AB273" s="47" t="s">
        <v>94</v>
      </c>
      <c r="AC273" s="44"/>
      <c r="AD273" s="44"/>
      <c r="AE273" s="8"/>
      <c r="AF273" s="43" t="s">
        <v>94</v>
      </c>
      <c r="AG273" s="44"/>
      <c r="AH273" s="44"/>
      <c r="AI273" s="44"/>
      <c r="AJ273" s="44"/>
      <c r="AL273">
        <f t="shared" si="36"/>
        <v>0</v>
      </c>
      <c r="AM273">
        <f t="shared" si="37"/>
        <v>2</v>
      </c>
      <c r="AN273">
        <f t="shared" si="38"/>
        <v>3</v>
      </c>
      <c r="AO273">
        <f t="shared" si="39"/>
        <v>2</v>
      </c>
      <c r="AP273">
        <f t="shared" si="40"/>
        <v>0</v>
      </c>
      <c r="AQ273">
        <f t="shared" si="41"/>
        <v>2</v>
      </c>
      <c r="AS273" s="90">
        <v>4147</v>
      </c>
      <c r="AT273" s="90" t="s">
        <v>777</v>
      </c>
    </row>
    <row r="274" spans="1:46" ht="21" customHeight="1" thickBot="1">
      <c r="A274" s="51" t="s">
        <v>752</v>
      </c>
      <c r="B274" s="47" t="s">
        <v>753</v>
      </c>
      <c r="C274" s="52" t="s">
        <v>754</v>
      </c>
      <c r="D274" s="53">
        <v>3137373069</v>
      </c>
      <c r="E274" s="53">
        <v>15</v>
      </c>
      <c r="F274" s="80">
        <v>45931</v>
      </c>
      <c r="G274" s="44"/>
      <c r="H274" s="44"/>
      <c r="I274" s="44"/>
      <c r="J274" s="43" t="s">
        <v>38</v>
      </c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7" t="s">
        <v>38</v>
      </c>
      <c r="Z274" s="47" t="s">
        <v>38</v>
      </c>
      <c r="AA274" s="47" t="s">
        <v>38</v>
      </c>
      <c r="AB274" s="44"/>
      <c r="AC274" s="44"/>
      <c r="AD274" s="47" t="s">
        <v>39</v>
      </c>
      <c r="AE274" s="8"/>
      <c r="AF274" s="44"/>
      <c r="AG274" s="43" t="s">
        <v>38</v>
      </c>
      <c r="AH274" s="44"/>
      <c r="AI274" s="44"/>
      <c r="AJ274" s="44"/>
      <c r="AL274">
        <f t="shared" si="36"/>
        <v>4</v>
      </c>
      <c r="AM274">
        <f t="shared" si="37"/>
        <v>0</v>
      </c>
      <c r="AN274">
        <f t="shared" si="38"/>
        <v>1</v>
      </c>
      <c r="AO274">
        <f t="shared" si="39"/>
        <v>3</v>
      </c>
      <c r="AP274">
        <f t="shared" si="40"/>
        <v>0</v>
      </c>
      <c r="AQ274">
        <f t="shared" si="41"/>
        <v>3</v>
      </c>
      <c r="AS274" s="90">
        <v>4147</v>
      </c>
      <c r="AT274" s="90" t="s">
        <v>777</v>
      </c>
    </row>
    <row r="275" spans="1:46" ht="21" customHeight="1" thickBot="1">
      <c r="A275" s="51" t="s">
        <v>752</v>
      </c>
      <c r="B275" s="47" t="s">
        <v>755</v>
      </c>
      <c r="C275" s="71" t="s">
        <v>756</v>
      </c>
      <c r="D275" s="53">
        <v>3128339979</v>
      </c>
      <c r="E275" s="53">
        <v>11</v>
      </c>
      <c r="F275" s="80">
        <v>45931</v>
      </c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3" t="s">
        <v>38</v>
      </c>
      <c r="U275" s="44"/>
      <c r="V275" s="44"/>
      <c r="W275" s="44"/>
      <c r="X275" s="44"/>
      <c r="Y275" s="47" t="s">
        <v>38</v>
      </c>
      <c r="Z275" s="47" t="s">
        <v>38</v>
      </c>
      <c r="AA275" s="47" t="s">
        <v>38</v>
      </c>
      <c r="AB275" s="44"/>
      <c r="AC275" s="44"/>
      <c r="AD275" s="47" t="s">
        <v>39</v>
      </c>
      <c r="AE275" s="8"/>
      <c r="AF275" s="44"/>
      <c r="AG275" s="43" t="s">
        <v>38</v>
      </c>
      <c r="AH275" s="44"/>
      <c r="AI275" s="44"/>
      <c r="AJ275" s="44"/>
      <c r="AL275">
        <f t="shared" si="36"/>
        <v>0</v>
      </c>
      <c r="AM275">
        <f t="shared" si="37"/>
        <v>3</v>
      </c>
      <c r="AN275">
        <f t="shared" si="38"/>
        <v>4</v>
      </c>
      <c r="AO275">
        <f t="shared" si="39"/>
        <v>3</v>
      </c>
      <c r="AP275">
        <f t="shared" si="40"/>
        <v>0</v>
      </c>
      <c r="AQ275">
        <f t="shared" si="41"/>
        <v>3</v>
      </c>
      <c r="AS275" s="90">
        <v>4147</v>
      </c>
      <c r="AT275" s="90" t="s">
        <v>777</v>
      </c>
    </row>
    <row r="276" spans="1:46" ht="21" customHeight="1" thickBot="1">
      <c r="A276" s="51" t="s">
        <v>757</v>
      </c>
      <c r="B276" s="47" t="s">
        <v>758</v>
      </c>
      <c r="C276" s="52" t="s">
        <v>759</v>
      </c>
      <c r="D276" s="53">
        <v>3002765771</v>
      </c>
      <c r="E276" s="53">
        <v>10</v>
      </c>
      <c r="F276" s="80">
        <v>45444</v>
      </c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3" t="s">
        <v>38</v>
      </c>
      <c r="V276" s="47" t="s">
        <v>38</v>
      </c>
      <c r="W276" s="47" t="s">
        <v>38</v>
      </c>
      <c r="X276" s="47" t="s">
        <v>38</v>
      </c>
      <c r="Y276" s="44"/>
      <c r="Z276" s="44"/>
      <c r="AA276" s="47" t="s">
        <v>38</v>
      </c>
      <c r="AB276" s="47" t="s">
        <v>38</v>
      </c>
      <c r="AC276" s="47" t="s">
        <v>38</v>
      </c>
      <c r="AD276" s="47" t="s">
        <v>65</v>
      </c>
      <c r="AE276" s="8"/>
      <c r="AF276" s="44"/>
      <c r="AG276" s="44"/>
      <c r="AH276" s="44"/>
      <c r="AI276" s="43" t="s">
        <v>38</v>
      </c>
      <c r="AJ276" s="44"/>
      <c r="AL276">
        <f t="shared" si="36"/>
        <v>0</v>
      </c>
      <c r="AM276">
        <f t="shared" si="37"/>
        <v>4</v>
      </c>
      <c r="AN276">
        <f t="shared" si="38"/>
        <v>5</v>
      </c>
      <c r="AO276">
        <f t="shared" si="39"/>
        <v>6</v>
      </c>
      <c r="AP276">
        <f t="shared" si="40"/>
        <v>1</v>
      </c>
      <c r="AQ276">
        <f t="shared" si="41"/>
        <v>5</v>
      </c>
      <c r="AS276" s="90">
        <v>4147</v>
      </c>
      <c r="AT276" s="90" t="s">
        <v>777</v>
      </c>
    </row>
    <row r="277" spans="1:46" ht="21" customHeight="1" thickBot="1">
      <c r="A277" s="51" t="s">
        <v>757</v>
      </c>
      <c r="B277" s="47" t="s">
        <v>760</v>
      </c>
      <c r="C277" s="52" t="s">
        <v>761</v>
      </c>
      <c r="D277" s="53">
        <v>3116030144</v>
      </c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8"/>
      <c r="AF277" s="44"/>
      <c r="AG277" s="44"/>
      <c r="AH277" s="44"/>
      <c r="AI277" s="44"/>
      <c r="AJ277" s="44"/>
      <c r="AL277">
        <f t="shared" si="36"/>
        <v>0</v>
      </c>
      <c r="AM277">
        <f t="shared" si="37"/>
        <v>0</v>
      </c>
      <c r="AN277" t="str">
        <f t="shared" si="38"/>
        <v/>
      </c>
      <c r="AO277">
        <f t="shared" si="39"/>
        <v>0</v>
      </c>
      <c r="AP277">
        <f t="shared" si="40"/>
        <v>0</v>
      </c>
      <c r="AQ277">
        <f t="shared" si="41"/>
        <v>0</v>
      </c>
      <c r="AS277" s="90">
        <v>4147</v>
      </c>
      <c r="AT277" s="90" t="s">
        <v>777</v>
      </c>
    </row>
    <row r="278" spans="1:46" ht="21" customHeight="1" thickBot="1">
      <c r="A278" s="51" t="s">
        <v>757</v>
      </c>
      <c r="B278" s="47" t="s">
        <v>762</v>
      </c>
      <c r="C278" s="52" t="s">
        <v>763</v>
      </c>
      <c r="D278" s="53">
        <v>3052272225</v>
      </c>
      <c r="E278" s="53">
        <v>0</v>
      </c>
      <c r="F278" s="80">
        <v>45748</v>
      </c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3" t="s">
        <v>38</v>
      </c>
      <c r="T278" s="44"/>
      <c r="U278" s="44"/>
      <c r="V278" s="44"/>
      <c r="W278" s="44"/>
      <c r="X278" s="44"/>
      <c r="Y278" s="44"/>
      <c r="Z278" s="47" t="s">
        <v>38</v>
      </c>
      <c r="AA278" s="47" t="s">
        <v>38</v>
      </c>
      <c r="AB278" s="44"/>
      <c r="AC278" s="44"/>
      <c r="AD278" s="47" t="s">
        <v>65</v>
      </c>
      <c r="AE278" s="8"/>
      <c r="AF278" s="43" t="s">
        <v>38</v>
      </c>
      <c r="AG278" s="44"/>
      <c r="AH278" s="44"/>
      <c r="AI278" s="44"/>
      <c r="AJ278" s="44"/>
      <c r="AL278">
        <f t="shared" si="36"/>
        <v>0</v>
      </c>
      <c r="AM278">
        <f t="shared" si="37"/>
        <v>2</v>
      </c>
      <c r="AN278">
        <f t="shared" si="38"/>
        <v>3</v>
      </c>
      <c r="AO278">
        <f t="shared" si="39"/>
        <v>2</v>
      </c>
      <c r="AP278">
        <f t="shared" si="40"/>
        <v>1</v>
      </c>
      <c r="AQ278">
        <f t="shared" si="41"/>
        <v>2</v>
      </c>
      <c r="AS278" s="90">
        <v>4147</v>
      </c>
      <c r="AT278" s="90" t="s">
        <v>777</v>
      </c>
    </row>
    <row r="279" spans="1:46" ht="21" customHeight="1" thickBot="1">
      <c r="A279" s="51" t="s">
        <v>764</v>
      </c>
      <c r="B279" s="47" t="s">
        <v>765</v>
      </c>
      <c r="C279" s="72" t="s">
        <v>766</v>
      </c>
      <c r="D279" s="47" t="s">
        <v>767</v>
      </c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3" t="s">
        <v>94</v>
      </c>
      <c r="V279" s="44"/>
      <c r="W279" s="44"/>
      <c r="X279" s="44"/>
      <c r="Y279" s="44"/>
      <c r="Z279" s="44"/>
      <c r="AA279" s="44"/>
      <c r="AB279" s="44"/>
      <c r="AC279" s="44"/>
      <c r="AD279" s="44"/>
      <c r="AE279" s="8"/>
      <c r="AF279" s="44"/>
      <c r="AG279" s="44"/>
      <c r="AH279" s="44"/>
      <c r="AI279" s="44"/>
      <c r="AJ279" s="44"/>
      <c r="AL279">
        <f t="shared" si="36"/>
        <v>0</v>
      </c>
      <c r="AM279">
        <f t="shared" si="37"/>
        <v>4</v>
      </c>
      <c r="AN279">
        <f t="shared" si="38"/>
        <v>5</v>
      </c>
      <c r="AO279">
        <f t="shared" si="39"/>
        <v>0</v>
      </c>
      <c r="AP279">
        <f t="shared" si="40"/>
        <v>0</v>
      </c>
      <c r="AQ279">
        <f t="shared" si="41"/>
        <v>0</v>
      </c>
      <c r="AS279" s="90">
        <v>4147</v>
      </c>
      <c r="AT279" s="90" t="s">
        <v>777</v>
      </c>
    </row>
    <row r="280" spans="1:46" ht="21" customHeight="1" thickBot="1">
      <c r="A280" s="51" t="s">
        <v>768</v>
      </c>
      <c r="B280" s="47" t="s">
        <v>769</v>
      </c>
      <c r="C280" s="71" t="s">
        <v>770</v>
      </c>
      <c r="D280" s="47" t="s">
        <v>771</v>
      </c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3" t="s">
        <v>94</v>
      </c>
      <c r="U280" s="44"/>
      <c r="V280" s="44"/>
      <c r="W280" s="44"/>
      <c r="X280" s="44"/>
      <c r="Y280" s="47" t="s">
        <v>94</v>
      </c>
      <c r="Z280" s="44"/>
      <c r="AA280" s="44"/>
      <c r="AB280" s="44"/>
      <c r="AC280" s="44"/>
      <c r="AD280" s="44"/>
      <c r="AE280" s="8"/>
      <c r="AF280" s="44"/>
      <c r="AG280" s="43" t="s">
        <v>94</v>
      </c>
      <c r="AH280" s="44"/>
      <c r="AI280" s="44"/>
      <c r="AJ280" s="44"/>
      <c r="AL280">
        <f t="shared" si="36"/>
        <v>0</v>
      </c>
      <c r="AM280">
        <f t="shared" si="37"/>
        <v>3</v>
      </c>
      <c r="AN280">
        <f t="shared" si="38"/>
        <v>4</v>
      </c>
      <c r="AO280">
        <f t="shared" si="39"/>
        <v>1</v>
      </c>
      <c r="AP280">
        <f t="shared" si="40"/>
        <v>0</v>
      </c>
      <c r="AQ280">
        <f t="shared" si="41"/>
        <v>3</v>
      </c>
      <c r="AS280" s="90">
        <v>4147</v>
      </c>
      <c r="AT280" s="90" t="s">
        <v>777</v>
      </c>
    </row>
    <row r="281" spans="1:46" ht="21" customHeight="1" thickBot="1">
      <c r="A281" s="51" t="s">
        <v>768</v>
      </c>
      <c r="B281" s="47" t="s">
        <v>772</v>
      </c>
      <c r="C281" s="71" t="s">
        <v>773</v>
      </c>
      <c r="D281" s="47" t="s">
        <v>771</v>
      </c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3" t="s">
        <v>94</v>
      </c>
      <c r="V281" s="44"/>
      <c r="W281" s="44"/>
      <c r="X281" s="44"/>
      <c r="Y281" s="47" t="s">
        <v>94</v>
      </c>
      <c r="Z281" s="44"/>
      <c r="AA281" s="44"/>
      <c r="AB281" s="44"/>
      <c r="AC281" s="44"/>
      <c r="AD281" s="44"/>
      <c r="AE281" s="8"/>
      <c r="AF281" s="44"/>
      <c r="AG281" s="44"/>
      <c r="AH281" s="43" t="s">
        <v>94</v>
      </c>
      <c r="AI281" s="44"/>
      <c r="AJ281" s="44"/>
      <c r="AL281">
        <f t="shared" si="36"/>
        <v>0</v>
      </c>
      <c r="AM281">
        <f t="shared" si="37"/>
        <v>4</v>
      </c>
      <c r="AN281">
        <f t="shared" si="38"/>
        <v>5</v>
      </c>
      <c r="AO281">
        <f t="shared" si="39"/>
        <v>1</v>
      </c>
      <c r="AP281">
        <f t="shared" si="40"/>
        <v>0</v>
      </c>
      <c r="AQ281">
        <f t="shared" si="41"/>
        <v>4</v>
      </c>
      <c r="AS281" s="90">
        <v>4147</v>
      </c>
      <c r="AT281" s="90" t="s">
        <v>777</v>
      </c>
    </row>
    <row r="282" spans="1:46" ht="21" customHeight="1" thickBot="1">
      <c r="A282" s="51" t="s">
        <v>768</v>
      </c>
      <c r="B282" s="47" t="s">
        <v>760</v>
      </c>
      <c r="C282" s="52" t="s">
        <v>761</v>
      </c>
      <c r="D282" s="53">
        <v>3116030144</v>
      </c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3" t="s">
        <v>94</v>
      </c>
      <c r="U282" s="44"/>
      <c r="V282" s="44"/>
      <c r="W282" s="44"/>
      <c r="X282" s="44"/>
      <c r="Y282" s="47" t="s">
        <v>94</v>
      </c>
      <c r="Z282" s="44"/>
      <c r="AA282" s="44"/>
      <c r="AB282" s="44"/>
      <c r="AC282" s="44"/>
      <c r="AD282" s="44"/>
      <c r="AE282" s="8"/>
      <c r="AF282" s="44"/>
      <c r="AG282" s="43" t="s">
        <v>94</v>
      </c>
      <c r="AH282" s="44"/>
      <c r="AI282" s="44"/>
      <c r="AJ282" s="44"/>
      <c r="AL282">
        <f t="shared" si="36"/>
        <v>0</v>
      </c>
      <c r="AM282">
        <f t="shared" si="37"/>
        <v>3</v>
      </c>
      <c r="AN282">
        <f t="shared" si="38"/>
        <v>4</v>
      </c>
      <c r="AO282">
        <f t="shared" si="39"/>
        <v>1</v>
      </c>
      <c r="AP282">
        <f t="shared" si="40"/>
        <v>0</v>
      </c>
      <c r="AQ282">
        <f t="shared" si="41"/>
        <v>3</v>
      </c>
      <c r="AS282" s="90">
        <v>4147</v>
      </c>
      <c r="AT282" s="90" t="s">
        <v>777</v>
      </c>
    </row>
    <row r="283" spans="1:46" ht="21" customHeight="1" thickBot="1">
      <c r="A283" s="51" t="s">
        <v>764</v>
      </c>
      <c r="B283" s="47" t="s">
        <v>774</v>
      </c>
      <c r="C283" s="71" t="s">
        <v>775</v>
      </c>
      <c r="D283" s="47" t="s">
        <v>776</v>
      </c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3" t="s">
        <v>94</v>
      </c>
      <c r="V283" s="44"/>
      <c r="W283" s="44"/>
      <c r="X283" s="44"/>
      <c r="Y283" s="44"/>
      <c r="Z283" s="44"/>
      <c r="AA283" s="44"/>
      <c r="AB283" s="44"/>
      <c r="AC283" s="44"/>
      <c r="AD283" s="44"/>
      <c r="AE283" s="8"/>
      <c r="AF283" s="44"/>
      <c r="AG283" s="44"/>
      <c r="AH283" s="44"/>
      <c r="AI283" s="44"/>
      <c r="AJ283" s="44"/>
      <c r="AL283">
        <f t="shared" si="36"/>
        <v>0</v>
      </c>
      <c r="AM283">
        <f t="shared" si="37"/>
        <v>4</v>
      </c>
      <c r="AN283">
        <f t="shared" si="38"/>
        <v>5</v>
      </c>
      <c r="AO283">
        <f t="shared" si="39"/>
        <v>0</v>
      </c>
      <c r="AP283">
        <f t="shared" si="40"/>
        <v>0</v>
      </c>
      <c r="AQ283">
        <f t="shared" si="41"/>
        <v>0</v>
      </c>
      <c r="AS283" s="90">
        <v>4147</v>
      </c>
      <c r="AT283" s="90" t="s">
        <v>777</v>
      </c>
    </row>
    <row r="284" spans="1:46" ht="21" customHeight="1" thickBot="1">
      <c r="A284" s="22" t="s">
        <v>76</v>
      </c>
      <c r="B284" s="23" t="s">
        <v>778</v>
      </c>
      <c r="C284" s="157" t="s">
        <v>779</v>
      </c>
      <c r="D284" s="23">
        <v>3127789577</v>
      </c>
      <c r="E284" s="158">
        <v>20</v>
      </c>
      <c r="F284" s="159">
        <v>45870</v>
      </c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5" t="s">
        <v>94</v>
      </c>
      <c r="V284" s="27"/>
      <c r="W284" s="27"/>
      <c r="X284" s="23" t="s">
        <v>94</v>
      </c>
      <c r="Y284" s="23" t="s">
        <v>94</v>
      </c>
      <c r="Z284" s="23" t="s">
        <v>94</v>
      </c>
      <c r="AA284" s="23" t="s">
        <v>94</v>
      </c>
      <c r="AB284" s="23" t="s">
        <v>94</v>
      </c>
      <c r="AC284" s="23" t="s">
        <v>94</v>
      </c>
      <c r="AD284" s="23" t="s">
        <v>780</v>
      </c>
      <c r="AE284" s="32"/>
      <c r="AF284" s="27"/>
      <c r="AG284" s="27"/>
      <c r="AH284" s="25" t="s">
        <v>94</v>
      </c>
      <c r="AI284" s="27"/>
      <c r="AJ284" s="27"/>
      <c r="AL284">
        <f t="shared" si="36"/>
        <v>0</v>
      </c>
      <c r="AM284">
        <f t="shared" si="37"/>
        <v>4</v>
      </c>
      <c r="AN284">
        <f t="shared" si="38"/>
        <v>5</v>
      </c>
      <c r="AO284">
        <f t="shared" si="39"/>
        <v>6</v>
      </c>
      <c r="AP284">
        <f t="shared" si="40"/>
        <v>0</v>
      </c>
      <c r="AQ284">
        <f t="shared" si="41"/>
        <v>4</v>
      </c>
      <c r="AS284" s="90">
        <v>4183</v>
      </c>
      <c r="AT284" s="90" t="s">
        <v>790</v>
      </c>
    </row>
    <row r="285" spans="1:46" ht="21" customHeight="1" thickBot="1">
      <c r="A285" s="28" t="s">
        <v>781</v>
      </c>
      <c r="B285" s="4" t="s">
        <v>782</v>
      </c>
      <c r="C285" s="30" t="s">
        <v>783</v>
      </c>
      <c r="D285" s="4">
        <v>3187195724</v>
      </c>
      <c r="E285" s="82">
        <v>7</v>
      </c>
      <c r="F285" s="83">
        <v>45870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 t="s">
        <v>94</v>
      </c>
      <c r="V285" s="6"/>
      <c r="W285" s="6"/>
      <c r="X285" s="6"/>
      <c r="Y285" s="4" t="s">
        <v>94</v>
      </c>
      <c r="Z285" s="4" t="s">
        <v>94</v>
      </c>
      <c r="AA285" s="4" t="s">
        <v>94</v>
      </c>
      <c r="AB285" s="4" t="s">
        <v>94</v>
      </c>
      <c r="AC285" s="4" t="s">
        <v>94</v>
      </c>
      <c r="AD285" s="4" t="s">
        <v>780</v>
      </c>
      <c r="AE285" s="8"/>
      <c r="AF285" s="6"/>
      <c r="AG285" s="6"/>
      <c r="AH285" s="6"/>
      <c r="AI285" s="7" t="s">
        <v>94</v>
      </c>
      <c r="AJ285" s="6"/>
      <c r="AL285">
        <f t="shared" si="36"/>
        <v>0</v>
      </c>
      <c r="AM285">
        <f t="shared" si="37"/>
        <v>4</v>
      </c>
      <c r="AN285">
        <f t="shared" si="38"/>
        <v>5</v>
      </c>
      <c r="AO285">
        <f t="shared" si="39"/>
        <v>5</v>
      </c>
      <c r="AP285">
        <f t="shared" si="40"/>
        <v>0</v>
      </c>
      <c r="AQ285">
        <f t="shared" si="41"/>
        <v>5</v>
      </c>
      <c r="AS285" s="90">
        <v>4183</v>
      </c>
      <c r="AT285" s="90" t="s">
        <v>790</v>
      </c>
    </row>
    <row r="286" spans="1:46" ht="21" customHeight="1" thickBot="1">
      <c r="A286" s="28" t="s">
        <v>784</v>
      </c>
      <c r="B286" s="4" t="s">
        <v>785</v>
      </c>
      <c r="C286" s="160" t="s">
        <v>786</v>
      </c>
      <c r="D286" s="4">
        <v>3102813721</v>
      </c>
      <c r="E286" s="82">
        <v>7</v>
      </c>
      <c r="F286" s="83">
        <v>45383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7" t="s">
        <v>94</v>
      </c>
      <c r="T286" s="6"/>
      <c r="U286" s="7"/>
      <c r="V286" s="6"/>
      <c r="W286" s="6"/>
      <c r="X286" s="6"/>
      <c r="Y286" s="4" t="s">
        <v>94</v>
      </c>
      <c r="Z286" s="4" t="s">
        <v>94</v>
      </c>
      <c r="AA286" s="4" t="s">
        <v>94</v>
      </c>
      <c r="AB286" s="4" t="s">
        <v>94</v>
      </c>
      <c r="AC286" s="4" t="s">
        <v>94</v>
      </c>
      <c r="AD286" s="4" t="s">
        <v>780</v>
      </c>
      <c r="AE286" s="8"/>
      <c r="AF286" s="6"/>
      <c r="AG286" s="7" t="s">
        <v>94</v>
      </c>
      <c r="AH286" s="6"/>
      <c r="AI286" s="6"/>
      <c r="AJ286" s="6"/>
      <c r="AL286">
        <f t="shared" si="36"/>
        <v>0</v>
      </c>
      <c r="AM286">
        <f t="shared" si="37"/>
        <v>2</v>
      </c>
      <c r="AN286">
        <f t="shared" si="38"/>
        <v>3</v>
      </c>
      <c r="AO286">
        <f t="shared" si="39"/>
        <v>5</v>
      </c>
      <c r="AP286">
        <f t="shared" si="40"/>
        <v>0</v>
      </c>
      <c r="AQ286">
        <f t="shared" si="41"/>
        <v>3</v>
      </c>
      <c r="AS286" s="90">
        <v>4183</v>
      </c>
      <c r="AT286" s="90" t="s">
        <v>790</v>
      </c>
    </row>
    <row r="287" spans="1:46" ht="21" customHeight="1" thickBot="1">
      <c r="A287" s="28" t="s">
        <v>787</v>
      </c>
      <c r="B287" s="4" t="s">
        <v>788</v>
      </c>
      <c r="C287" s="160" t="s">
        <v>789</v>
      </c>
      <c r="D287" s="4">
        <v>3164678746</v>
      </c>
      <c r="E287" s="82">
        <v>20</v>
      </c>
      <c r="F287" s="83">
        <v>45870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 t="s">
        <v>94</v>
      </c>
      <c r="V287" s="6"/>
      <c r="W287" s="4" t="s">
        <v>94</v>
      </c>
      <c r="X287" s="4" t="s">
        <v>94</v>
      </c>
      <c r="Y287" s="4"/>
      <c r="Z287" s="4"/>
      <c r="AA287" s="4" t="s">
        <v>94</v>
      </c>
      <c r="AB287" s="4" t="s">
        <v>94</v>
      </c>
      <c r="AC287" s="4" t="s">
        <v>94</v>
      </c>
      <c r="AD287" s="4" t="s">
        <v>780</v>
      </c>
      <c r="AE287" s="8"/>
      <c r="AF287" s="6"/>
      <c r="AG287" s="6"/>
      <c r="AH287" s="6"/>
      <c r="AI287" s="6"/>
      <c r="AJ287" s="7" t="s">
        <v>94</v>
      </c>
      <c r="AL287">
        <f t="shared" si="36"/>
        <v>0</v>
      </c>
      <c r="AM287">
        <f t="shared" si="37"/>
        <v>4</v>
      </c>
      <c r="AN287">
        <f t="shared" si="38"/>
        <v>5</v>
      </c>
      <c r="AO287">
        <f t="shared" si="39"/>
        <v>5</v>
      </c>
      <c r="AP287">
        <f t="shared" si="40"/>
        <v>0</v>
      </c>
      <c r="AQ287">
        <f t="shared" si="41"/>
        <v>6</v>
      </c>
      <c r="AS287" s="90">
        <v>4183</v>
      </c>
      <c r="AT287" s="90" t="s">
        <v>790</v>
      </c>
    </row>
    <row r="288" spans="1:46" ht="21" customHeight="1" thickBot="1">
      <c r="A288" s="22" t="s">
        <v>791</v>
      </c>
      <c r="B288" s="23" t="s">
        <v>792</v>
      </c>
      <c r="C288" s="113" t="s">
        <v>793</v>
      </c>
      <c r="D288" s="23">
        <v>3126961214</v>
      </c>
      <c r="E288" s="23">
        <v>7</v>
      </c>
      <c r="F288" s="161">
        <v>45861</v>
      </c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5" t="s">
        <v>38</v>
      </c>
      <c r="V288" s="23" t="s">
        <v>38</v>
      </c>
      <c r="W288" s="23" t="s">
        <v>38</v>
      </c>
      <c r="X288" s="23" t="s">
        <v>38</v>
      </c>
      <c r="Y288" s="23" t="s">
        <v>38</v>
      </c>
      <c r="Z288" s="23" t="s">
        <v>38</v>
      </c>
      <c r="AA288" s="23" t="s">
        <v>38</v>
      </c>
      <c r="AB288" s="27"/>
      <c r="AC288" s="27"/>
      <c r="AD288" s="23" t="s">
        <v>39</v>
      </c>
      <c r="AE288" s="32"/>
      <c r="AF288" s="27"/>
      <c r="AG288" s="27"/>
      <c r="AH288" s="25" t="s">
        <v>38</v>
      </c>
      <c r="AI288" s="27"/>
      <c r="AJ288" s="27"/>
      <c r="AL288">
        <f t="shared" ref="AL288" si="42">IFERROR(CHOOSE(MATCH("X",G288:Q288,0),1,2,3,4,4,4,4,4,4,4,5,6),0)</f>
        <v>0</v>
      </c>
      <c r="AM288">
        <f t="shared" ref="AM288" si="43">IFERROR(MATCH("X",R288:U288,0),0)</f>
        <v>4</v>
      </c>
      <c r="AN288">
        <f t="shared" ref="AN288" si="44">IF(AL288&gt;0,1,IF(AM288&gt;0,AM288+1,""))</f>
        <v>5</v>
      </c>
      <c r="AO288">
        <f t="shared" ref="AO288" si="45">COUNTIF(V288:AC288,"X")</f>
        <v>6</v>
      </c>
      <c r="AP288">
        <f t="shared" ref="AP288" si="46">IF(AD288="SI",1,0)</f>
        <v>0</v>
      </c>
      <c r="AQ288">
        <f t="shared" ref="AQ288" si="47">IFERROR(MATCH("X",AE288:AJ288,0),0)</f>
        <v>4</v>
      </c>
      <c r="AS288" s="90">
        <v>4182</v>
      </c>
      <c r="AT288" s="90" t="s">
        <v>794</v>
      </c>
    </row>
  </sheetData>
  <mergeCells count="12">
    <mergeCell ref="G1:U1"/>
    <mergeCell ref="V1:AC1"/>
    <mergeCell ref="AD1:AD3"/>
    <mergeCell ref="AE1:AJ1"/>
    <mergeCell ref="G2:Q2"/>
    <mergeCell ref="R2:U2"/>
    <mergeCell ref="F1:F3"/>
    <mergeCell ref="A1:A3"/>
    <mergeCell ref="B1:B3"/>
    <mergeCell ref="C1:C3"/>
    <mergeCell ref="D1:D3"/>
    <mergeCell ref="E1:E3"/>
  </mergeCells>
  <hyperlinks>
    <hyperlink ref="C18" r:id="rId1" display="mailto:calidad.dacp@cali.gov.co" xr:uid="{9CCD8E5C-AD10-462A-905B-BD8D9DB2E22F}"/>
    <hyperlink ref="C19" r:id="rId2" display="mailto:jonatan.paez@cali.gov.co" xr:uid="{F2A94267-12E3-439D-840C-4550CB8FE79D}"/>
    <hyperlink ref="C20" r:id="rId3" display="mailto:lucia.jaramillo@cali.gov.co" xr:uid="{405D7DB6-46F6-4A30-B688-9C2767B56FDA}"/>
    <hyperlink ref="C21" r:id="rId4" display="mailto:lina.castro@cali.gov.co" xr:uid="{DFE3AC02-784E-4F71-A14E-D6A7A142F079}"/>
    <hyperlink ref="C52" r:id="rId5" display="mailto:carlos.daza@cali.gov.co" xr:uid="{B6EAD494-3749-4B1B-BB4B-66B188247B3C}"/>
    <hyperlink ref="C53" r:id="rId6" display="mailto:marcela.guerrero@cali.gov.co" xr:uid="{0A32BC87-D5AC-45FB-9CFF-75FFD34121DA}"/>
    <hyperlink ref="C54" r:id="rId7" display="mailto:yolanda.rayo@cali.gov.co" xr:uid="{B809C296-C36B-48ED-ADA6-B84A5ACEFA37}"/>
    <hyperlink ref="C55" r:id="rId8" display="mailto:yenni.angel@cali.gov.co" xr:uid="{CB44C15E-25EA-4F05-B845-3C564E2F201B}"/>
    <hyperlink ref="C56" r:id="rId9" display="mailto:cesar.morantes@cali.gov.co" xr:uid="{DE99B800-FCFC-4A0A-9AA0-A5CBD5295BFC}"/>
    <hyperlink ref="C64" r:id="rId10" display="mailto:edmundo.rengifo@cali.gov.co" xr:uid="{E6974FE7-4B9D-4C5A-A5CF-AD681E6B88A7}"/>
    <hyperlink ref="C65" r:id="rId11" display="mailto:alexander.chavez@cali.gov.co" xr:uid="{CF7FF71D-5C4B-4436-A7A5-1BB174DE3FCB}"/>
    <hyperlink ref="C66" r:id="rId12" display="mailto:andresaranalopez@gmail.com" xr:uid="{C1765751-0CFE-4432-B78D-65256D9B095A}"/>
    <hyperlink ref="C67" r:id="rId13" display="mailto:gmurielcartografia@gmail.com" xr:uid="{4FAD7D08-6719-4F47-BD13-1DB87C94C1A6}"/>
    <hyperlink ref="C68" r:id="rId14" display="mailto:leo_dr94@hotmail.com" xr:uid="{ECB4822F-2198-4A98-8061-6F192BFB45D2}"/>
    <hyperlink ref="C69" r:id="rId15" display="mailto:marieta1577@gmail.com" xr:uid="{93C065C7-B9C9-4F6F-AB25-A7661ED95925}"/>
    <hyperlink ref="C70" r:id="rId16" display="mailto:Douglax796@gmail.com" xr:uid="{AE75A1A8-9C77-40DE-B7F6-2A8400D925C1}"/>
    <hyperlink ref="C71" r:id="rId17" display="mailto:danielacuencaplaneacion@gmail.com" xr:uid="{A3404DC8-7065-40AA-AF15-FB93D8BB29AA}"/>
    <hyperlink ref="C72" r:id="rId18" display="mailto:danielacuencaplaneacion@gmail.com" xr:uid="{28FFDF43-8F8B-4F37-B591-B66E00DF8BCD}"/>
    <hyperlink ref="C125" r:id="rId19" display="mailto:carlos.torres.ric@cali.gov.co" xr:uid="{58BA832D-1836-49E6-A76D-973A1D8039D4}"/>
    <hyperlink ref="C126" r:id="rId20" display="mailto:caporali79@gmail.com" xr:uid="{3F0F864A-544A-424D-AC75-235C2F0D9476}"/>
    <hyperlink ref="C148" r:id="rId21" display="mailto:estadisticarpbc@cali.gov.co" xr:uid="{8226DE05-BF5A-43AE-81D3-2496DCC3EE8B}"/>
    <hyperlink ref="C149" r:id="rId22" display="mailto:observatorio.cultura@cali.gov.co" xr:uid="{D50A01C5-7BBA-4746-8154-A1A3E90AD1EF}"/>
    <hyperlink ref="C157" r:id="rId23" display="mailto:angela.gonzalez@cali.gov.co" xr:uid="{F11410E2-8A71-4598-B472-A73B7CAB1499}"/>
    <hyperlink ref="C159" r:id="rId24" display="mailto:francia.velasquez@cali.gov.co" xr:uid="{16F975F7-3E3D-4DEE-84AD-26FE77D36166}"/>
    <hyperlink ref="C160" r:id="rId25" display="mailto:jhonn.rodriguez@cali.gov.co" xr:uid="{4EB08F18-325D-4A01-AB92-4A7444E22717}"/>
    <hyperlink ref="C161" r:id="rId26" display="mailto:katherine.sanchez@cali.gov.co" xr:uid="{7F959B46-1ECF-403D-A685-867227EBE426}"/>
    <hyperlink ref="C162" r:id="rId27" display="mailto:luz.pineda@cali.gov.co" xr:uid="{9FA72771-8659-42FD-8260-A6CD1F535580}"/>
    <hyperlink ref="C164" r:id="rId28" display="mailto:marisol.torres@cali.gov.co" xr:uid="{301FCDC5-A4C1-4503-81B5-69BD6A489215}"/>
    <hyperlink ref="C165" r:id="rId29" display="mailto:julian.victoria@cali.gov.co" xr:uid="{DDE23C07-4822-4794-9AED-E303EFECB9AE}"/>
    <hyperlink ref="C166" r:id="rId30" display="mailto:alicia.torres@cali.gov.co" xr:uid="{6B9C45FB-4BFE-4813-A7C4-C8ECF6BD521A}"/>
    <hyperlink ref="C167" r:id="rId31" display="mailto:luz.araque@cali.gov.co" xr:uid="{D366B72D-4229-4943-9050-04FDB1E3DC27}"/>
    <hyperlink ref="C169" r:id="rId32" display="mailto:ana.c.palma7@gmail.com" xr:uid="{B504B4FF-B070-43C3-BC4F-F59A7A2EB985}"/>
    <hyperlink ref="C170" r:id="rId33" display="mailto:adriana.quinones@cali.edu.co" xr:uid="{A60B04E0-F565-4AF3-AD2D-93974B0D1870}"/>
    <hyperlink ref="C173" r:id="rId34" display="http://breygtner.candelo.cali.edu.co/" xr:uid="{FDC3ED3E-0272-47E9-9A54-9B4A9D624B07}"/>
    <hyperlink ref="C177" r:id="rId35" display="mailto:maria.pedraza@cali.gov.co" xr:uid="{7831177F-E634-49CD-8C04-D1C8EDD3A7F9}"/>
    <hyperlink ref="C178" r:id="rId36" display="mailto:andres.pereira@cali.gov.co" xr:uid="{CA9F680D-E983-4B12-AA31-77D1F9FCF4E5}"/>
    <hyperlink ref="C179" r:id="rId37" display="mailto:infraestructura1612@gmail.com" xr:uid="{C4DE33C3-8E7B-44F3-B5EE-1C2D027E8F34}"/>
    <hyperlink ref="C180" r:id="rId38" display="mailto:aura.quintero@cali.gov.co" xr:uid="{3E3EA171-FD2D-4114-8793-DA6510CCB3BD}"/>
    <hyperlink ref="C181" r:id="rId39" display="mailto:santiago.sanchez@cali.gov.co" xr:uid="{9B892EE2-4D5D-4431-BF64-165B7B8FD3B6}"/>
    <hyperlink ref="C182" r:id="rId40" display="mailto:vivian.aranzalez@cali.gov.co" xr:uid="{5BA74A1F-A857-4300-8E1C-C48E0AB4F0F8}"/>
    <hyperlink ref="C183" r:id="rId41" display="mailto:fabian.prado@cali.gov.co" xr:uid="{46C9B6D6-99B6-45C7-B068-523A915827C0}"/>
    <hyperlink ref="C184" r:id="rId42" display="mailto:konguevara@hotmail.com" xr:uid="{0BF3D678-9C20-4C30-836B-13B3C5240B06}"/>
    <hyperlink ref="C205" r:id="rId43" display="mailto:victomu@gmail.com" xr:uid="{C9C2048D-721B-4D3B-9AFF-32C2ABEAE46F}"/>
    <hyperlink ref="C206" r:id="rId44" display="mailto:eduardo.varela@cali.gov.co" xr:uid="{E127B115-898A-4681-B2A7-DF756235889A}"/>
    <hyperlink ref="C207" r:id="rId45" display="mailto:luis.gonzaga@cali.gov.co" xr:uid="{8917B119-4010-46CD-9BC6-1FD863B21F3F}"/>
    <hyperlink ref="C208" r:id="rId46" display="mailto:camilojuan821@gmail.com" xr:uid="{AB3F5862-D700-4489-BCE6-2B13022AE176}"/>
    <hyperlink ref="C209" r:id="rId47" display="mailto:luisadanielat@gmail.com" xr:uid="{5B7C2FAA-67C5-45FC-9326-5F78FC977C85}"/>
    <hyperlink ref="C210" r:id="rId48" display="mailto:rubend.aristizabalo@gmail.com" xr:uid="{6B909AA8-F285-448A-9BFA-9811155C1B6B}"/>
    <hyperlink ref="C211" r:id="rId49" display="mailto:observatorioseguridad@cali.gov.co" xr:uid="{BE3277F6-4095-4A00-97E4-D26FEF66D694}"/>
    <hyperlink ref="C213" r:id="rId50" display="mailto:ekmacho@gmail.com" xr:uid="{3BB5E2C9-E5D9-4327-AF78-CA49E4950ACE}"/>
    <hyperlink ref="C214" r:id="rId51" display="mailto:davidsotobello@gmail.com" xr:uid="{31EC958E-4597-42A0-8722-FD93DABCC56F}"/>
    <hyperlink ref="C215" r:id="rId52" display="mailto:luisllopez9412@gmail.com" xr:uid="{7F2A315F-2288-489D-B18B-5345849FD6DA}"/>
    <hyperlink ref="C216" r:id="rId53" display="mailto:damunoz.arias@gmail.com" xr:uid="{25A25A72-B4AF-4523-9D1E-A0095AA8AB46}"/>
    <hyperlink ref="C221" r:id="rId54" display="mailto:marcela.diaz@cali.gov.co" xr:uid="{3C392FB5-B7A9-4120-9017-C7B90BD42295}"/>
    <hyperlink ref="C222" r:id="rId55" display="mailto:observatorio.salud@cali.gov.co" xr:uid="{3E52E836-9296-4BCC-88F0-FC3D17DE79EF}"/>
    <hyperlink ref="C225" r:id="rId56" display="mailto:anthony.garces@cali.gov.co" xr:uid="{0918F58A-3574-4995-B076-21CFE5C1A24E}"/>
    <hyperlink ref="C236" r:id="rId57" display="mailto:johnny.marvaez@cali.gov.co" xr:uid="{D7E1B74E-7EEF-44EE-98AE-C01AE69CBE5F}"/>
    <hyperlink ref="C237" r:id="rId58" display="mailto:clara.solis@cali.gov.co" xr:uid="{CD1F1914-69EA-4901-9B63-6531FF45A114}"/>
    <hyperlink ref="C248" r:id="rId59" display="mailto:calidad.st@cali.gov.co" xr:uid="{1AE3DC6E-BAF1-4F24-A774-844B23906746}"/>
    <hyperlink ref="C249" r:id="rId60" display="mailto:calidad.st@cali.gov.co" xr:uid="{2DEFDFF2-D09A-4BE6-94E5-88636583B01B}"/>
    <hyperlink ref="C285" r:id="rId61" display="mailto:js.giraldov1@gmail.com" xr:uid="{9B32A516-312D-4B3A-AA90-6E232A1936CD}"/>
    <hyperlink ref="C288" r:id="rId62" display="mailto:calidad.uaesp@cali.gov.co" xr:uid="{242CB706-F7B1-4527-AB14-2E83DB5802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Desagregado</vt:lpstr>
      <vt:lpstr>Agregada</vt:lpstr>
      <vt:lpstr>Diccionario</vt:lpstr>
      <vt:lpstr> OM | 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 Principal</dc:creator>
  <cp:lastModifiedBy>Torre Principal</cp:lastModifiedBy>
  <dcterms:created xsi:type="dcterms:W3CDTF">2015-06-05T18:19:34Z</dcterms:created>
  <dcterms:modified xsi:type="dcterms:W3CDTF">2026-02-17T13:11:53Z</dcterms:modified>
</cp:coreProperties>
</file>